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reg\OneDrive - Queen's University\Python\Projects\EclipseRelated\PlanEvaluation\Data\"/>
    </mc:Choice>
  </mc:AlternateContent>
  <xr:revisionPtr revIDLastSave="354" documentId="11_B9C4EF12A396D4B7033C52154DBEC399ECC58F9A" xr6:coauthVersionLast="45" xr6:coauthVersionMax="45" xr10:uidLastSave="{11E59EFD-FDC1-4258-82B2-E9D2E74EF4FB}"/>
  <bookViews>
    <workbookView xWindow="-120" yWindow="-120" windowWidth="24240" windowHeight="13290" tabRatio="893" activeTab="2" xr2:uid="{00000000-000D-0000-FFFF-FFFF00000000}"/>
  </bookViews>
  <sheets>
    <sheet name="EvaluationSheet 48Gy4F 60Gy5F" sheetId="16" r:id="rId1"/>
    <sheet name="EvaluationSheet 60Gy 8F" sheetId="18" r:id="rId2"/>
    <sheet name="EvaluationSheet 54Gy 3F" sheetId="26" r:id="rId3"/>
    <sheet name="Calculations 48Gy4F_ or_ 60Gy5F" sheetId="24" r:id="rId4"/>
    <sheet name="Calculations 60Gy_8F" sheetId="21" r:id="rId5"/>
    <sheet name="Calculations 54Gy 3F" sheetId="25" r:id="rId6"/>
    <sheet name="RTOG Conformality Table" sheetId="20" r:id="rId7"/>
  </sheets>
  <definedNames>
    <definedName name="B">#REF!</definedName>
    <definedName name="_xlnm.Print_Area" localSheetId="0">'EvaluationSheet 48Gy4F 60Gy5F'!$B$2:$L$62</definedName>
    <definedName name="_xlnm.Print_Area" localSheetId="2">'EvaluationSheet 54Gy 3F'!$B$2:$L$52</definedName>
    <definedName name="_xlnm.Print_Area" localSheetId="1">'EvaluationSheet 60Gy 8F'!$B$2:$L$53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2" i="18" l="1"/>
  <c r="P45" i="26" l="1"/>
  <c r="G46" i="26" l="1"/>
  <c r="H24" i="26" l="1"/>
  <c r="H21" i="26"/>
  <c r="H17" i="26"/>
  <c r="G14" i="26"/>
  <c r="H25" i="18"/>
  <c r="H22" i="18"/>
  <c r="H21" i="18"/>
  <c r="H21" i="16"/>
  <c r="L21" i="16" s="1"/>
  <c r="P18" i="26"/>
  <c r="P17" i="26"/>
  <c r="P5" i="18"/>
  <c r="O39" i="26"/>
  <c r="P49" i="18"/>
  <c r="P48" i="18"/>
  <c r="P47" i="18"/>
  <c r="P46" i="18"/>
  <c r="P44" i="18"/>
  <c r="P41" i="18"/>
  <c r="P40" i="18"/>
  <c r="P39" i="18"/>
  <c r="P38" i="18"/>
  <c r="P36" i="18"/>
  <c r="P35" i="18"/>
  <c r="P33" i="18"/>
  <c r="P31" i="18"/>
  <c r="P30" i="18"/>
  <c r="P28" i="18"/>
  <c r="P26" i="18"/>
  <c r="P25" i="18"/>
  <c r="P24" i="18"/>
  <c r="P23" i="18"/>
  <c r="P22" i="18"/>
  <c r="P21" i="18"/>
  <c r="P20" i="18"/>
  <c r="P19" i="18"/>
  <c r="P18" i="18"/>
  <c r="P17" i="18"/>
  <c r="P16" i="18"/>
  <c r="P14" i="18"/>
  <c r="P13" i="18"/>
  <c r="P12" i="18"/>
  <c r="P11" i="18"/>
  <c r="P10" i="18"/>
  <c r="P9" i="18"/>
  <c r="P8" i="18"/>
  <c r="P7" i="18"/>
  <c r="P6" i="18"/>
  <c r="P4" i="18"/>
  <c r="O49" i="18"/>
  <c r="O48" i="18"/>
  <c r="O47" i="18"/>
  <c r="O46" i="18"/>
  <c r="O45" i="18"/>
  <c r="O44" i="18"/>
  <c r="O42" i="18"/>
  <c r="O43" i="18"/>
  <c r="O41" i="18"/>
  <c r="O40" i="18"/>
  <c r="O39" i="18"/>
  <c r="O38" i="18"/>
  <c r="O37" i="18"/>
  <c r="O36" i="18"/>
  <c r="O35" i="18"/>
  <c r="O34" i="18"/>
  <c r="O33" i="18"/>
  <c r="O32" i="18"/>
  <c r="O31" i="18"/>
  <c r="O27" i="18"/>
  <c r="O30" i="18"/>
  <c r="O29" i="18"/>
  <c r="O28" i="18"/>
  <c r="O26" i="18"/>
  <c r="O25" i="18"/>
  <c r="O24" i="18"/>
  <c r="O23" i="18"/>
  <c r="O21" i="18"/>
  <c r="O20" i="18"/>
  <c r="O19" i="18"/>
  <c r="O18" i="18"/>
  <c r="O17" i="18"/>
  <c r="O16" i="18"/>
  <c r="O14" i="18"/>
  <c r="O13" i="18"/>
  <c r="O12" i="18"/>
  <c r="O11" i="18"/>
  <c r="O10" i="18"/>
  <c r="O9" i="18"/>
  <c r="O8" i="18"/>
  <c r="O7" i="18"/>
  <c r="O6" i="18"/>
  <c r="O5" i="18"/>
  <c r="O4" i="18"/>
  <c r="O45" i="26"/>
  <c r="P44" i="26"/>
  <c r="O44" i="26"/>
  <c r="P43" i="26"/>
  <c r="O43" i="26"/>
  <c r="P42" i="26"/>
  <c r="O42" i="26"/>
  <c r="P41" i="26"/>
  <c r="O41" i="26"/>
  <c r="P40" i="26"/>
  <c r="O40" i="26"/>
  <c r="P39" i="26"/>
  <c r="O38" i="26"/>
  <c r="O37" i="26"/>
  <c r="P36" i="26"/>
  <c r="O36" i="26"/>
  <c r="P35" i="26"/>
  <c r="O35" i="26"/>
  <c r="P34" i="26"/>
  <c r="O34" i="26"/>
  <c r="P33" i="26"/>
  <c r="O33" i="26"/>
  <c r="P32" i="26"/>
  <c r="O32" i="26"/>
  <c r="P31" i="26"/>
  <c r="O31" i="26"/>
  <c r="P30" i="26"/>
  <c r="O30" i="26"/>
  <c r="P29" i="26"/>
  <c r="O29" i="26"/>
  <c r="P28" i="26"/>
  <c r="O28" i="26"/>
  <c r="P27" i="26"/>
  <c r="O27" i="26"/>
  <c r="P26" i="26"/>
  <c r="O26" i="26"/>
  <c r="P25" i="26"/>
  <c r="O25" i="26"/>
  <c r="P24" i="26"/>
  <c r="O24" i="26"/>
  <c r="P23" i="26"/>
  <c r="O23" i="26"/>
  <c r="P22" i="26"/>
  <c r="O22" i="26"/>
  <c r="P21" i="26"/>
  <c r="O21" i="26"/>
  <c r="P20" i="26"/>
  <c r="O20" i="26"/>
  <c r="P19" i="26"/>
  <c r="O19" i="26"/>
  <c r="O18" i="26"/>
  <c r="O17" i="26"/>
  <c r="P16" i="26"/>
  <c r="O16" i="26"/>
  <c r="P14" i="26"/>
  <c r="O14" i="26"/>
  <c r="P13" i="26"/>
  <c r="O13" i="26"/>
  <c r="P12" i="26"/>
  <c r="O12" i="26"/>
  <c r="P11" i="26"/>
  <c r="O11" i="26"/>
  <c r="P10" i="26"/>
  <c r="O10" i="26"/>
  <c r="P9" i="26"/>
  <c r="O9" i="26"/>
  <c r="P8" i="26"/>
  <c r="O8" i="26"/>
  <c r="P7" i="26"/>
  <c r="O7" i="26"/>
  <c r="P6" i="26"/>
  <c r="O6" i="26"/>
  <c r="P5" i="26"/>
  <c r="O5" i="26"/>
  <c r="P4" i="26"/>
  <c r="O4" i="26"/>
  <c r="P57" i="16"/>
  <c r="O57" i="16"/>
  <c r="P56" i="16"/>
  <c r="O56" i="16"/>
  <c r="P55" i="16"/>
  <c r="O55" i="16"/>
  <c r="P54" i="16"/>
  <c r="O54" i="16"/>
  <c r="O53" i="16"/>
  <c r="P52" i="16"/>
  <c r="O52" i="16"/>
  <c r="O51" i="16"/>
  <c r="O50" i="16"/>
  <c r="P49" i="16"/>
  <c r="O49" i="16"/>
  <c r="P48" i="16"/>
  <c r="O48" i="16"/>
  <c r="P47" i="16"/>
  <c r="O47" i="16"/>
  <c r="P46" i="16"/>
  <c r="O46" i="16"/>
  <c r="O45" i="16"/>
  <c r="O44" i="16"/>
  <c r="P43" i="16"/>
  <c r="O43" i="16"/>
  <c r="O42" i="16"/>
  <c r="P41" i="16"/>
  <c r="O41" i="16"/>
  <c r="O40" i="16"/>
  <c r="P39" i="16"/>
  <c r="O39" i="16"/>
  <c r="P38" i="16"/>
  <c r="O38" i="16"/>
  <c r="O37" i="16"/>
  <c r="P36" i="16"/>
  <c r="O36" i="16"/>
  <c r="P35" i="16"/>
  <c r="O35" i="16"/>
  <c r="O34" i="16"/>
  <c r="O33" i="16"/>
  <c r="P32" i="16"/>
  <c r="O32" i="16"/>
  <c r="O31" i="16"/>
  <c r="P30" i="16"/>
  <c r="O30" i="16"/>
  <c r="O29" i="16"/>
  <c r="P28" i="16"/>
  <c r="O28" i="16"/>
  <c r="P27" i="16"/>
  <c r="O27" i="16"/>
  <c r="P26" i="16"/>
  <c r="O26" i="16"/>
  <c r="P25" i="16"/>
  <c r="O25" i="16"/>
  <c r="P24" i="16"/>
  <c r="O24" i="16"/>
  <c r="P23" i="16"/>
  <c r="O23" i="16"/>
  <c r="P22" i="16"/>
  <c r="O22" i="16"/>
  <c r="P21" i="16"/>
  <c r="O21" i="16"/>
  <c r="P20" i="16"/>
  <c r="O20" i="16"/>
  <c r="P19" i="16"/>
  <c r="O19" i="16"/>
  <c r="P18" i="16"/>
  <c r="O18" i="16"/>
  <c r="P17" i="16"/>
  <c r="O17" i="16"/>
  <c r="P16" i="16"/>
  <c r="O16" i="16"/>
  <c r="P14" i="16"/>
  <c r="O14" i="16"/>
  <c r="P13" i="16"/>
  <c r="O13" i="16"/>
  <c r="P12" i="16"/>
  <c r="O12" i="16"/>
  <c r="P11" i="16"/>
  <c r="O11" i="16"/>
  <c r="P10" i="16"/>
  <c r="O10" i="16"/>
  <c r="P9" i="16"/>
  <c r="O9" i="16"/>
  <c r="P8" i="16"/>
  <c r="O8" i="16"/>
  <c r="P7" i="16"/>
  <c r="O7" i="16"/>
  <c r="P6" i="16"/>
  <c r="O6" i="16"/>
  <c r="P5" i="16"/>
  <c r="O5" i="16"/>
  <c r="P4" i="16"/>
  <c r="O4" i="16"/>
  <c r="L53" i="16"/>
  <c r="L55" i="16"/>
  <c r="P43" i="18"/>
  <c r="P42" i="18"/>
  <c r="P31" i="16"/>
  <c r="P45" i="18"/>
  <c r="P37" i="18"/>
  <c r="P34" i="18"/>
  <c r="P32" i="18"/>
  <c r="P29" i="18"/>
  <c r="L47" i="18"/>
  <c r="P27" i="18"/>
  <c r="P53" i="16"/>
  <c r="P45" i="16"/>
  <c r="L51" i="16"/>
  <c r="P42" i="16"/>
  <c r="L41" i="16"/>
  <c r="P33" i="16"/>
  <c r="P40" i="16"/>
  <c r="P37" i="16"/>
  <c r="P29" i="16"/>
  <c r="I34" i="24"/>
  <c r="K34" i="24" s="1"/>
  <c r="L31" i="16" s="1"/>
  <c r="I34" i="21"/>
  <c r="K34" i="21" s="1"/>
  <c r="L31" i="18" s="1"/>
  <c r="L56" i="16"/>
  <c r="L43" i="18"/>
  <c r="L42" i="18"/>
  <c r="L40" i="18"/>
  <c r="L38" i="18"/>
  <c r="L37" i="18"/>
  <c r="L35" i="18"/>
  <c r="L33" i="18"/>
  <c r="L50" i="16"/>
  <c r="L19" i="18"/>
  <c r="L18" i="18"/>
  <c r="L17" i="18"/>
  <c r="L14" i="18"/>
  <c r="L32" i="16"/>
  <c r="L33" i="16"/>
  <c r="L39" i="16"/>
  <c r="L37" i="16"/>
  <c r="L35" i="16"/>
  <c r="L19" i="16"/>
  <c r="L18" i="16"/>
  <c r="L17" i="16"/>
  <c r="L14" i="16"/>
  <c r="I34" i="25"/>
  <c r="G44" i="26"/>
  <c r="L44" i="26" s="1"/>
  <c r="G45" i="26"/>
  <c r="P38" i="26" s="1"/>
  <c r="I33" i="25"/>
  <c r="J33" i="25" s="1"/>
  <c r="I32" i="25"/>
  <c r="I31" i="25"/>
  <c r="I30" i="25"/>
  <c r="J27" i="25" s="1"/>
  <c r="I30" i="24"/>
  <c r="L27" i="24" s="1"/>
  <c r="I33" i="24"/>
  <c r="J33" i="24" s="1"/>
  <c r="I14" i="26"/>
  <c r="L14" i="26" s="1"/>
  <c r="I17" i="26"/>
  <c r="L17" i="26" s="1"/>
  <c r="G18" i="26"/>
  <c r="L18" i="26"/>
  <c r="G19" i="26"/>
  <c r="L19" i="26"/>
  <c r="L21" i="26"/>
  <c r="I31" i="24"/>
  <c r="I32" i="24"/>
  <c r="L32" i="26"/>
  <c r="L33" i="26"/>
  <c r="L35" i="26"/>
  <c r="L36" i="26"/>
  <c r="L37" i="26"/>
  <c r="L38" i="26"/>
  <c r="L39" i="26"/>
  <c r="L40" i="26"/>
  <c r="L41" i="26"/>
  <c r="L42" i="26"/>
  <c r="L43" i="26"/>
  <c r="L46" i="26"/>
  <c r="I30" i="21"/>
  <c r="L27" i="21" s="1"/>
  <c r="I31" i="21"/>
  <c r="I33" i="21"/>
  <c r="J33" i="21"/>
  <c r="I32" i="21"/>
  <c r="L21" i="18"/>
  <c r="L42" i="16"/>
  <c r="L43" i="16"/>
  <c r="L46" i="16"/>
  <c r="L45" i="16"/>
  <c r="L48" i="16"/>
  <c r="L46" i="18"/>
  <c r="L45" i="18"/>
  <c r="M27" i="24" l="1"/>
  <c r="J27" i="24"/>
  <c r="J32" i="24"/>
  <c r="H25" i="16" s="1"/>
  <c r="G27" i="24"/>
  <c r="I27" i="24"/>
  <c r="K25" i="16" s="1"/>
  <c r="P27" i="24"/>
  <c r="F27" i="24"/>
  <c r="K33" i="24"/>
  <c r="L24" i="16" s="1"/>
  <c r="O27" i="24"/>
  <c r="L44" i="18"/>
  <c r="L41" i="18"/>
  <c r="L34" i="18"/>
  <c r="F27" i="21"/>
  <c r="P27" i="21"/>
  <c r="M27" i="21"/>
  <c r="K33" i="21" s="1"/>
  <c r="L24" i="18" s="1"/>
  <c r="O27" i="21"/>
  <c r="K24" i="18"/>
  <c r="K24" i="16"/>
  <c r="L49" i="16"/>
  <c r="J31" i="25"/>
  <c r="H22" i="26" s="1"/>
  <c r="L39" i="18"/>
  <c r="J32" i="25"/>
  <c r="H25" i="26" s="1"/>
  <c r="J31" i="24"/>
  <c r="H22" i="16" s="1"/>
  <c r="L47" i="16"/>
  <c r="P34" i="16"/>
  <c r="J32" i="21"/>
  <c r="P37" i="26"/>
  <c r="P50" i="16"/>
  <c r="L40" i="16"/>
  <c r="L38" i="16"/>
  <c r="M27" i="25"/>
  <c r="L36" i="18"/>
  <c r="L27" i="25"/>
  <c r="K24" i="26" s="1"/>
  <c r="J27" i="21"/>
  <c r="L36" i="16"/>
  <c r="P44" i="16"/>
  <c r="P27" i="25"/>
  <c r="G27" i="21"/>
  <c r="F27" i="25"/>
  <c r="K31" i="25" s="1"/>
  <c r="L22" i="26" s="1"/>
  <c r="I27" i="21"/>
  <c r="L52" i="16"/>
  <c r="O27" i="25"/>
  <c r="K31" i="26" s="1"/>
  <c r="G27" i="25"/>
  <c r="L45" i="26"/>
  <c r="L57" i="16"/>
  <c r="L44" i="16"/>
  <c r="P51" i="16"/>
  <c r="L48" i="18"/>
  <c r="I27" i="25"/>
  <c r="K25" i="26" s="1"/>
  <c r="J31" i="21"/>
  <c r="K32" i="24" l="1"/>
  <c r="L25" i="16" s="1"/>
  <c r="K31" i="24"/>
  <c r="L22" i="16" s="1"/>
  <c r="K31" i="21"/>
  <c r="L22" i="18" s="1"/>
  <c r="K32" i="21"/>
  <c r="L25" i="18" s="1"/>
  <c r="K25" i="18"/>
  <c r="K33" i="25"/>
  <c r="L24" i="26" s="1"/>
  <c r="K32" i="25"/>
  <c r="L25" i="26" s="1"/>
  <c r="K34" i="25"/>
  <c r="L31" i="26" s="1"/>
</calcChain>
</file>

<file path=xl/sharedStrings.xml><?xml version="1.0" encoding="utf-8"?>
<sst xmlns="http://schemas.openxmlformats.org/spreadsheetml/2006/main" count="762" uniqueCount="208">
  <si>
    <t>Patient:</t>
  </si>
  <si>
    <t>CR#:</t>
  </si>
  <si>
    <t>Site:</t>
  </si>
  <si>
    <t>Plan Name:</t>
  </si>
  <si>
    <t>GTV Volume (cc)</t>
  </si>
  <si>
    <t>ITV Volume (cc):</t>
  </si>
  <si>
    <t>PTV Volume (cc)</t>
  </si>
  <si>
    <t>Total Lung Volume (cc)</t>
  </si>
  <si>
    <t>Normalization:</t>
  </si>
  <si>
    <t>Target/OAR Volumes:</t>
  </si>
  <si>
    <t>&lt;15%</t>
  </si>
  <si>
    <t>Acceptable</t>
  </si>
  <si>
    <t>&lt;1.2</t>
  </si>
  <si>
    <t>Esophagus</t>
  </si>
  <si>
    <t>Skin</t>
  </si>
  <si>
    <t>Spinal Canal</t>
  </si>
  <si>
    <t>Proximal Trachea</t>
  </si>
  <si>
    <t>Heart</t>
  </si>
  <si>
    <t>Requirement</t>
  </si>
  <si>
    <t>Protocol</t>
  </si>
  <si>
    <t>Calculated</t>
  </si>
  <si>
    <t>Dose (cGy)</t>
  </si>
  <si>
    <t>DOSE TO OARs</t>
  </si>
  <si>
    <t>60%-90%</t>
  </si>
  <si>
    <t>Lung Dose</t>
  </si>
  <si>
    <t>Mean Dose (contralateral lung)</t>
  </si>
  <si>
    <t>Mean Dose (Total lung)</t>
  </si>
  <si>
    <t>V20 (Total Lung)</t>
  </si>
  <si>
    <t>RTOG0236</t>
  </si>
  <si>
    <t>Maximum Point</t>
  </si>
  <si>
    <t>PTV Dose Inhomogeneity:</t>
  </si>
  <si>
    <t>PTV (V48Gy)</t>
  </si>
  <si>
    <t>PTV (V43.2Gy)</t>
  </si>
  <si>
    <t>Artery-Pulmnory</t>
  </si>
  <si>
    <t xml:space="preserve">Tolerance </t>
  </si>
  <si>
    <t>Spinal Canal-PRV 5mm</t>
  </si>
  <si>
    <t>(Tumours located within the lung parenchyma, away from the OAR’s and chest wall)</t>
  </si>
  <si>
    <t xml:space="preserve"> </t>
  </si>
  <si>
    <t>LOW Dose Spillage:</t>
  </si>
  <si>
    <t>HIGH Dose Spillage:</t>
  </si>
  <si>
    <t>Location</t>
  </si>
  <si>
    <t>PTV- Minimum Dose</t>
  </si>
  <si>
    <t>100% Dose covers 95% of Target Volume</t>
  </si>
  <si>
    <t>Volume</t>
  </si>
  <si>
    <t>Comments</t>
  </si>
  <si>
    <t>Plan Normalization Value (%)</t>
  </si>
  <si>
    <t>See "Prescription" on Eclipse</t>
  </si>
  <si>
    <t>Calculated/Plan</t>
  </si>
  <si>
    <t>Volume of the structure (Dose 105% - PTV), D105%=56.7Gy</t>
  </si>
  <si>
    <r>
      <t>D</t>
    </r>
    <r>
      <rPr>
        <b/>
        <vertAlign val="subscript"/>
        <sz val="10"/>
        <rFont val="Symbol"/>
        <family val="1"/>
        <charset val="2"/>
      </rPr>
      <t>³</t>
    </r>
    <r>
      <rPr>
        <b/>
        <vertAlign val="subscript"/>
        <sz val="10"/>
        <rFont val="Arial"/>
        <family val="2"/>
      </rPr>
      <t>2cm (%)</t>
    </r>
    <r>
      <rPr>
        <b/>
        <sz val="10"/>
        <rFont val="Arial"/>
        <family val="2"/>
      </rPr>
      <t xml:space="preserve"> =</t>
    </r>
  </si>
  <si>
    <t>Other OARs</t>
  </si>
  <si>
    <t>RTOG 0813 and 0236 (Deviations NONE=10%, MINOR=15%)</t>
  </si>
  <si>
    <r>
      <t>Ratio V</t>
    </r>
    <r>
      <rPr>
        <vertAlign val="subscript"/>
        <sz val="10"/>
        <rFont val="Arial"/>
        <family val="2"/>
      </rPr>
      <t>D100%</t>
    </r>
    <r>
      <rPr>
        <sz val="10"/>
        <rFont val="Arial"/>
        <family val="2"/>
      </rPr>
      <t>/V</t>
    </r>
    <r>
      <rPr>
        <vertAlign val="subscript"/>
        <sz val="10"/>
        <rFont val="Arial"/>
        <family val="2"/>
      </rPr>
      <t>PTV</t>
    </r>
    <r>
      <rPr>
        <sz val="10"/>
        <rFont val="Arial"/>
        <family val="2"/>
      </rPr>
      <t xml:space="preserve"> (On DVH see BODY volume for 100% prescription dose)</t>
    </r>
  </si>
  <si>
    <r>
      <t>Ratio V</t>
    </r>
    <r>
      <rPr>
        <vertAlign val="subscript"/>
        <sz val="10"/>
        <rFont val="Arial"/>
        <family val="2"/>
      </rPr>
      <t>D50%</t>
    </r>
    <r>
      <rPr>
        <sz val="10"/>
        <rFont val="Arial"/>
        <family val="2"/>
      </rPr>
      <t>/V</t>
    </r>
    <r>
      <rPr>
        <vertAlign val="subscript"/>
        <sz val="10"/>
        <rFont val="Arial"/>
        <family val="2"/>
      </rPr>
      <t xml:space="preserve">PTV </t>
    </r>
    <r>
      <rPr>
        <sz val="10"/>
        <rFont val="Arial"/>
        <family val="2"/>
      </rPr>
      <t>should be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(None) in Table 1, MINOR deviation acceptable in rare cases (On DVH see BODY volume for 50% prescription dose)</t>
    </r>
  </si>
  <si>
    <r>
      <t xml:space="preserve">Max dose (in %) </t>
    </r>
    <r>
      <rPr>
        <sz val="10"/>
        <rFont val="Symbol"/>
        <family val="1"/>
        <charset val="2"/>
      </rPr>
      <t>³</t>
    </r>
    <r>
      <rPr>
        <sz val="10"/>
        <rFont val="Arial"/>
        <family val="2"/>
      </rPr>
      <t xml:space="preserve">2cm from PTV (structure BODY-(PTV+2cm)), should be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(None) in Table 1, MINOR deviation acceptable in rare cases</t>
    </r>
  </si>
  <si>
    <t>Dosimetrist:</t>
  </si>
  <si>
    <t>Physicist:</t>
  </si>
  <si>
    <t>Radiation Oncologist:</t>
  </si>
  <si>
    <t>ref volume (cc)</t>
  </si>
  <si>
    <t>Max Dose (cGy)/ volume</t>
  </si>
  <si>
    <t>(max point dose)</t>
  </si>
  <si>
    <t>RTOG 0915</t>
  </si>
  <si>
    <t>Ipsilat Brach.Plex</t>
  </si>
  <si>
    <t>RTOG0915</t>
  </si>
  <si>
    <t>Lung-Basic Function</t>
  </si>
  <si>
    <t>Lung-Pneumonitis</t>
  </si>
  <si>
    <t>??</t>
  </si>
  <si>
    <t>Chestwall (rib)</t>
  </si>
  <si>
    <r>
      <t>£</t>
    </r>
    <r>
      <rPr>
        <sz val="10"/>
        <rFont val="Arial"/>
        <family val="2"/>
      </rPr>
      <t>10%</t>
    </r>
  </si>
  <si>
    <t>PTV - V100(%)</t>
  </si>
  <si>
    <t>PTV - V90 (%)</t>
  </si>
  <si>
    <t>R or L Lung volume getting &gt;1160cGy</t>
  </si>
  <si>
    <t>R or L Lung volume getting&gt;1240cGy</t>
  </si>
  <si>
    <t>PTV Volume</t>
  </si>
  <si>
    <t>(cc)</t>
  </si>
  <si>
    <t>None</t>
  </si>
  <si>
    <t>Note 1: For values of PTV dimension or volume not specified, linear interpolation between table entries is required.</t>
  </si>
  <si>
    <t>RTOG 0813</t>
  </si>
  <si>
    <t>Table 1: Conformality of Prescribed Dose for Calculations Based on Deposition of Photon Beam Energy in Heterogeneous Tissue</t>
  </si>
  <si>
    <t>Maximum Dose (in %</t>
  </si>
  <si>
    <t>Percent of Lung Receiving</t>
  </si>
  <si>
    <t>Ratio of Prescription</t>
  </si>
  <si>
    <t>Ratio of 50% Isodose</t>
  </si>
  <si>
    <t>of dose prescribed) @ 2cm</t>
  </si>
  <si>
    <t xml:space="preserve"> 20 Gy Total or More,</t>
  </si>
  <si>
    <t>Isodose Volume to the</t>
  </si>
  <si>
    <t xml:space="preserve"> Volume to the PTV Volume</t>
  </si>
  <si>
    <t>from PTV in Any Direction</t>
  </si>
  <si>
    <t xml:space="preserve">PTV Volume  </t>
  </si>
  <si>
    <t>Vptv</t>
  </si>
  <si>
    <t>(Vptv/V100)</t>
  </si>
  <si>
    <t>R50%</t>
  </si>
  <si>
    <t>D2cm (Gy)</t>
  </si>
  <si>
    <t>V20 (%)</t>
  </si>
  <si>
    <t>Minor Deviation</t>
  </si>
  <si>
    <t>Note 2: Protocol deviations greater than listed here as “minor” will be classified as “major” for protocol compliance (see Section 6.7).</t>
  </si>
  <si>
    <t>INTERPOLATIONS</t>
  </si>
  <si>
    <t>Interpolation Vptv/V100%</t>
  </si>
  <si>
    <t>Interpolation D2cm</t>
  </si>
  <si>
    <t>Yes</t>
  </si>
  <si>
    <t>MAJOR Deviation</t>
  </si>
  <si>
    <t>CALCULATIONS</t>
  </si>
  <si>
    <t>value</t>
  </si>
  <si>
    <t>ratio</t>
  </si>
  <si>
    <t>pass/fail/deviation</t>
  </si>
  <si>
    <t>PTV Volume Vptv(cc)</t>
  </si>
  <si>
    <t>Reference: EXCEL LOGICAL OPERATIONS</t>
  </si>
  <si>
    <t>http://www.blueleafsoftware.com/Products/Dagra/LinearInterpolationExcel.php</t>
  </si>
  <si>
    <r>
      <t>FORECAST(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,OFFSET(</t>
    </r>
    <r>
      <rPr>
        <i/>
        <sz val="11"/>
        <color indexed="8"/>
        <rFont val="Courier New"/>
        <family val="3"/>
      </rPr>
      <t>KnownY</t>
    </r>
    <r>
      <rPr>
        <sz val="11"/>
        <color indexed="8"/>
        <rFont val="Courier New"/>
        <family val="3"/>
      </rPr>
      <t>,MATCH(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,1)-1,0,2),</t>
    </r>
  </si>
  <si>
    <r>
      <t>OFFSET(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,MATCH(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,1)-1,0,2))</t>
    </r>
  </si>
  <si>
    <t>RTOG 0813:  Conformality Table</t>
  </si>
  <si>
    <r>
      <t>V</t>
    </r>
    <r>
      <rPr>
        <vertAlign val="subscript"/>
        <sz val="10"/>
        <rFont val="Arial"/>
        <family val="2"/>
      </rPr>
      <t>100%</t>
    </r>
    <r>
      <rPr>
        <sz val="10"/>
        <rFont val="Arial"/>
        <family val="2"/>
      </rPr>
      <t xml:space="preserve"> (cc) =</t>
    </r>
  </si>
  <si>
    <r>
      <t>V</t>
    </r>
    <r>
      <rPr>
        <vertAlign val="subscript"/>
        <sz val="10"/>
        <rFont val="Arial"/>
        <family val="2"/>
      </rPr>
      <t>105%</t>
    </r>
    <r>
      <rPr>
        <sz val="10"/>
        <rFont val="Arial"/>
        <family val="2"/>
      </rPr>
      <t xml:space="preserve"> - PTV (cc) =</t>
    </r>
  </si>
  <si>
    <r>
      <t>V</t>
    </r>
    <r>
      <rPr>
        <b/>
        <vertAlign val="subscript"/>
        <sz val="14"/>
        <color indexed="8"/>
        <rFont val="Calibri"/>
        <family val="2"/>
      </rPr>
      <t>100%</t>
    </r>
  </si>
  <si>
    <r>
      <t>R</t>
    </r>
    <r>
      <rPr>
        <b/>
        <vertAlign val="subscript"/>
        <sz val="14"/>
        <color indexed="8"/>
        <rFont val="Calibri"/>
        <family val="2"/>
      </rPr>
      <t>50%</t>
    </r>
    <r>
      <rPr>
        <b/>
        <sz val="14"/>
        <color indexed="8"/>
        <rFont val="Calibri"/>
        <family val="2"/>
      </rPr>
      <t xml:space="preserve"> (cc)</t>
    </r>
  </si>
  <si>
    <r>
      <t>D</t>
    </r>
    <r>
      <rPr>
        <b/>
        <vertAlign val="subscript"/>
        <sz val="14"/>
        <color indexed="8"/>
        <rFont val="Calibri"/>
        <family val="2"/>
      </rPr>
      <t>2cm</t>
    </r>
    <r>
      <rPr>
        <b/>
        <sz val="14"/>
        <color indexed="8"/>
        <rFont val="Calibri"/>
        <family val="2"/>
      </rPr>
      <t xml:space="preserve"> (%)</t>
    </r>
  </si>
  <si>
    <r>
      <t>Lung V</t>
    </r>
    <r>
      <rPr>
        <b/>
        <vertAlign val="subscript"/>
        <sz val="14"/>
        <color indexed="8"/>
        <rFont val="Calibri"/>
        <family val="2"/>
      </rPr>
      <t>20Gy</t>
    </r>
  </si>
  <si>
    <t>V20 (Total Lung) in %</t>
  </si>
  <si>
    <r>
      <t>V</t>
    </r>
    <r>
      <rPr>
        <b/>
        <vertAlign val="subscript"/>
        <sz val="10"/>
        <rFont val="Arial"/>
        <family val="2"/>
      </rPr>
      <t>30Gy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</si>
  <si>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28Gy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</si>
  <si>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18.8Gy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</si>
  <si>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15.6Gy</t>
    </r>
    <r>
      <rPr>
        <b/>
        <sz val="10"/>
        <rFont val="Arial"/>
        <family val="2"/>
      </rPr>
      <t>=</t>
    </r>
  </si>
  <si>
    <t>and Bronchial Tree</t>
  </si>
  <si>
    <t>Chestwall (including rib) limit may be exceeded if structure lies within PTV</t>
  </si>
  <si>
    <t>*Chestwall (rib)</t>
  </si>
  <si>
    <t>*NOTE:</t>
  </si>
  <si>
    <r>
      <t>V</t>
    </r>
    <r>
      <rPr>
        <sz val="9"/>
        <rFont val="Arial"/>
        <family val="2"/>
      </rPr>
      <t>30Gy</t>
    </r>
    <r>
      <rPr>
        <sz val="9"/>
        <rFont val="Symbol"/>
        <family val="1"/>
        <charset val="2"/>
      </rPr>
      <t>£</t>
    </r>
    <r>
      <rPr>
        <sz val="9"/>
        <rFont val="Arial"/>
        <family val="2"/>
      </rPr>
      <t xml:space="preserve"> 30cc</t>
    </r>
  </si>
  <si>
    <t>Stomach and</t>
  </si>
  <si>
    <r>
      <t>V</t>
    </r>
    <r>
      <rPr>
        <b/>
        <vertAlign val="subscript"/>
        <sz val="10"/>
        <rFont val="Arial"/>
        <family val="2"/>
      </rPr>
      <t>36Gy</t>
    </r>
    <r>
      <rPr>
        <b/>
        <sz val="10"/>
        <rFont val="Arial"/>
        <family val="2"/>
      </rPr>
      <t>=</t>
    </r>
  </si>
  <si>
    <t xml:space="preserve">Aorta </t>
  </si>
  <si>
    <t>V11.6Gy=</t>
  </si>
  <si>
    <t>V12.4Gy=</t>
  </si>
  <si>
    <t>SABR Plan Evaluation Sheet for 12Gy/fr Schedules (48 Gy in 4F) or (60Gy/5F)</t>
  </si>
  <si>
    <r>
      <t>Interpolation V</t>
    </r>
    <r>
      <rPr>
        <b/>
        <vertAlign val="subscript"/>
        <sz val="11"/>
        <color indexed="8"/>
        <rFont val="Calibri"/>
        <family val="2"/>
      </rPr>
      <t>20Gy</t>
    </r>
  </si>
  <si>
    <t xml:space="preserve">Stomach and </t>
  </si>
  <si>
    <t>Intestines</t>
  </si>
  <si>
    <r>
      <t>V</t>
    </r>
    <r>
      <rPr>
        <b/>
        <vertAlign val="subscript"/>
        <sz val="10"/>
        <rFont val="Arial"/>
        <family val="2"/>
      </rPr>
      <t>40Gy</t>
    </r>
    <r>
      <rPr>
        <b/>
        <sz val="10"/>
        <rFont val="Arial"/>
        <family val="2"/>
      </rPr>
      <t>=</t>
    </r>
  </si>
  <si>
    <t>SABR Plan Evaluation Sheet for 7.5Gy/fr Schedules: (60 Gy in 8F)</t>
  </si>
  <si>
    <t>NOTES:</t>
  </si>
  <si>
    <t>SABR Plan Evaluation Sheet for 18Gy/fr Schedules (54Gy/3F)</t>
  </si>
  <si>
    <r>
      <t>V</t>
    </r>
    <r>
      <rPr>
        <b/>
        <vertAlign val="subscript"/>
        <sz val="10"/>
        <rFont val="Arial"/>
        <family val="2"/>
      </rPr>
      <t>28.2Gy</t>
    </r>
    <r>
      <rPr>
        <b/>
        <sz val="10"/>
        <rFont val="Arial"/>
        <family val="2"/>
      </rPr>
      <t>=</t>
    </r>
  </si>
  <si>
    <t xml:space="preserve"> ref Dose (cGy or %) /</t>
  </si>
  <si>
    <r>
      <t>V</t>
    </r>
    <r>
      <rPr>
        <b/>
        <vertAlign val="subscript"/>
        <sz val="10"/>
        <rFont val="Arial"/>
        <family val="2"/>
      </rPr>
      <t>20.8Gy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</si>
  <si>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13.6Gy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</si>
  <si>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23.6Gy</t>
    </r>
    <r>
      <rPr>
        <b/>
        <sz val="10"/>
        <rFont val="Arial"/>
        <family val="2"/>
      </rPr>
      <t>=</t>
    </r>
  </si>
  <si>
    <t>V12.4Gy≤1500cc (R or L Lung)</t>
  </si>
  <si>
    <t>V20Gy (%)=</t>
  </si>
  <si>
    <r>
      <t>V11.6Gy</t>
    </r>
    <r>
      <rPr>
        <sz val="8"/>
        <rFont val="Calibri"/>
        <family val="2"/>
      </rPr>
      <t>≤</t>
    </r>
    <r>
      <rPr>
        <sz val="8"/>
        <rFont val="Arial"/>
        <family val="2"/>
      </rPr>
      <t>1500cc (R or L Lung)</t>
    </r>
  </si>
  <si>
    <r>
      <t xml:space="preserve">V60Gy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10cc</t>
    </r>
  </si>
  <si>
    <r>
      <t>V</t>
    </r>
    <r>
      <rPr>
        <b/>
        <vertAlign val="subscript"/>
        <sz val="10"/>
        <rFont val="Arial"/>
        <family val="2"/>
      </rPr>
      <t>60Gy</t>
    </r>
    <r>
      <rPr>
        <b/>
        <sz val="10"/>
        <rFont val="Arial"/>
        <family val="2"/>
      </rPr>
      <t>=</t>
    </r>
  </si>
  <si>
    <t>PTV (V54Gy)</t>
  </si>
  <si>
    <t>PTV (V48.6Gy)</t>
  </si>
  <si>
    <r>
      <t>V28.2Gy</t>
    </r>
    <r>
      <rPr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1cc</t>
    </r>
  </si>
  <si>
    <r>
      <t>V30Gy</t>
    </r>
    <r>
      <rPr>
        <sz val="9"/>
        <rFont val="Symbol"/>
        <family val="1"/>
        <charset val="2"/>
      </rPr>
      <t>£</t>
    </r>
    <r>
      <rPr>
        <sz val="9"/>
        <rFont val="Arial"/>
        <family val="2"/>
      </rPr>
      <t>10cc</t>
    </r>
  </si>
  <si>
    <r>
      <t>V</t>
    </r>
    <r>
      <rPr>
        <vertAlign val="subscript"/>
        <sz val="10"/>
        <rFont val="Arial"/>
        <family val="2"/>
      </rPr>
      <t>30Gy</t>
    </r>
    <r>
      <rPr>
        <sz val="10"/>
        <rFont val="Arial"/>
        <family val="2"/>
      </rPr>
      <t>=</t>
    </r>
  </si>
  <si>
    <t>Use the ORIGINAL file for each NEW PLAN or modification</t>
  </si>
  <si>
    <r>
      <t xml:space="preserve">NOTE: Must fill in information in </t>
    </r>
    <r>
      <rPr>
        <b/>
        <sz val="10"/>
        <color indexed="13"/>
        <rFont val="Arial"/>
        <family val="2"/>
      </rPr>
      <t>YELLOW cells with "??"</t>
    </r>
    <r>
      <rPr>
        <b/>
        <sz val="10"/>
        <color indexed="9"/>
        <rFont val="Arial"/>
        <family val="2"/>
      </rPr>
      <t>.</t>
    </r>
  </si>
  <si>
    <t xml:space="preserve">Location </t>
  </si>
  <si>
    <r>
      <t>Volume(R</t>
    </r>
    <r>
      <rPr>
        <b/>
        <vertAlign val="subscript"/>
        <sz val="10"/>
        <rFont val="Arial"/>
        <family val="2"/>
      </rPr>
      <t>50</t>
    </r>
    <r>
      <rPr>
        <b/>
        <sz val="10"/>
        <rFont val="Arial"/>
        <family val="2"/>
      </rPr>
      <t>)</t>
    </r>
  </si>
  <si>
    <r>
      <t>V</t>
    </r>
    <r>
      <rPr>
        <vertAlign val="subscript"/>
        <sz val="8"/>
        <rFont val="Arial"/>
        <family val="2"/>
      </rPr>
      <t>50%</t>
    </r>
    <r>
      <rPr>
        <sz val="8"/>
        <rFont val="Arial"/>
        <family val="2"/>
      </rPr>
      <t xml:space="preserve"> (cc) =</t>
    </r>
  </si>
  <si>
    <t>Q:\SBRT\Policy\SABR  Plan Evaluation Worksheet 4Dec2013.xls</t>
  </si>
  <si>
    <t>60%-95%</t>
  </si>
  <si>
    <r>
      <t>V</t>
    </r>
    <r>
      <rPr>
        <b/>
        <vertAlign val="subscript"/>
        <sz val="10"/>
        <rFont val="Arial"/>
        <family val="2"/>
      </rPr>
      <t>21Gy</t>
    </r>
    <r>
      <rPr>
        <b/>
        <sz val="10"/>
        <rFont val="Arial"/>
        <family val="2"/>
      </rPr>
      <t>=</t>
    </r>
  </si>
  <si>
    <t>LUSTRE</t>
  </si>
  <si>
    <r>
      <t xml:space="preserve">V50Gy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5cc</t>
    </r>
  </si>
  <si>
    <r>
      <t>V</t>
    </r>
    <r>
      <rPr>
        <b/>
        <vertAlign val="subscript"/>
        <sz val="10"/>
        <rFont val="Arial"/>
        <family val="2"/>
      </rPr>
      <t>50Gy</t>
    </r>
    <r>
      <rPr>
        <b/>
        <sz val="10"/>
        <rFont val="Arial"/>
        <family val="2"/>
      </rPr>
      <t>=</t>
    </r>
  </si>
  <si>
    <t>Artery-Pulmonary</t>
  </si>
  <si>
    <t>Fractions:</t>
  </si>
  <si>
    <t>PTV- Minimum Dose (%)</t>
  </si>
  <si>
    <t>Prescription Dose (cGy):</t>
  </si>
  <si>
    <r>
      <t>V</t>
    </r>
    <r>
      <rPr>
        <b/>
        <vertAlign val="subscript"/>
        <sz val="10"/>
        <rFont val="Arial"/>
        <family val="2"/>
      </rPr>
      <t>20Gy (%) =</t>
    </r>
  </si>
  <si>
    <r>
      <t>V</t>
    </r>
    <r>
      <rPr>
        <b/>
        <vertAlign val="subscript"/>
        <sz val="10"/>
        <rFont val="Arial"/>
        <family val="2"/>
      </rPr>
      <t xml:space="preserve">12.4Gy (cc) 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</si>
  <si>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 xml:space="preserve">11.6Gy (cc) 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</si>
  <si>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60Gy =</t>
    </r>
  </si>
  <si>
    <t>(cGy) / (cc)</t>
  </si>
  <si>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50% (cc) =</t>
    </r>
  </si>
  <si>
    <t>Maximum  Dose (cGy)</t>
  </si>
  <si>
    <t>/ Volume (cc)</t>
  </si>
  <si>
    <t>Ref Dose (%) /</t>
  </si>
  <si>
    <t>Ref Volume (cc)</t>
  </si>
  <si>
    <r>
      <t>V</t>
    </r>
    <r>
      <rPr>
        <vertAlign val="subscript"/>
        <sz val="10"/>
        <rFont val="Arial"/>
        <family val="2"/>
      </rPr>
      <t>50%</t>
    </r>
    <r>
      <rPr>
        <sz val="10"/>
        <rFont val="Arial"/>
        <family val="2"/>
      </rPr>
      <t xml:space="preserve"> (cc) =</t>
    </r>
  </si>
  <si>
    <r>
      <t>D</t>
    </r>
    <r>
      <rPr>
        <vertAlign val="subscript"/>
        <sz val="10"/>
        <rFont val="Symbol"/>
        <family val="1"/>
        <charset val="2"/>
      </rPr>
      <t>³</t>
    </r>
    <r>
      <rPr>
        <vertAlign val="subscript"/>
        <sz val="10"/>
        <rFont val="Arial"/>
        <family val="2"/>
      </rPr>
      <t>2cm</t>
    </r>
    <r>
      <rPr>
        <sz val="10"/>
        <rFont val="Arial"/>
        <family val="2"/>
      </rPr>
      <t xml:space="preserve"> (%) =</t>
    </r>
  </si>
  <si>
    <t>Calculated Value</t>
  </si>
  <si>
    <t>Ipsilat. Brach. Plex.</t>
  </si>
  <si>
    <t>Volume of the structure (Dose 105% - PTV), D105% = 50.4 Gy</t>
  </si>
  <si>
    <r>
      <t xml:space="preserve">Max dose (in %) </t>
    </r>
    <r>
      <rPr>
        <sz val="10"/>
        <rFont val="Symbol"/>
        <family val="1"/>
        <charset val="2"/>
      </rPr>
      <t>³</t>
    </r>
    <r>
      <rPr>
        <sz val="10"/>
        <rFont val="Arial"/>
        <family val="2"/>
      </rPr>
      <t xml:space="preserve">2cm from PTV (structure BODY-(PTV+2cm)), should be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in Table 1, MINOR deviation acceptable</t>
    </r>
  </si>
  <si>
    <r>
      <t>Ratio V</t>
    </r>
    <r>
      <rPr>
        <vertAlign val="subscript"/>
        <sz val="10"/>
        <rFont val="Arial"/>
        <family val="2"/>
      </rPr>
      <t>D50%</t>
    </r>
    <r>
      <rPr>
        <sz val="10"/>
        <rFont val="Arial"/>
        <family val="2"/>
      </rPr>
      <t>/V</t>
    </r>
    <r>
      <rPr>
        <vertAlign val="subscript"/>
        <sz val="10"/>
        <rFont val="Arial"/>
        <family val="2"/>
      </rPr>
      <t xml:space="preserve">PTV </t>
    </r>
    <r>
      <rPr>
        <sz val="10"/>
        <rFont val="Arial"/>
        <family val="2"/>
      </rPr>
      <t>should be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in Table 1, MINOR deviation acceptable</t>
    </r>
  </si>
  <si>
    <t>See "Prescription" in Eclipse</t>
  </si>
  <si>
    <r>
      <t xml:space="preserve">V11.6Gy </t>
    </r>
    <r>
      <rPr>
        <sz val="10"/>
        <rFont val="Calibri"/>
        <family val="2"/>
      </rPr>
      <t xml:space="preserve">≤ </t>
    </r>
    <r>
      <rPr>
        <sz val="10"/>
        <rFont val="Arial"/>
        <family val="2"/>
      </rPr>
      <t>1500cc (R or L Lung)</t>
    </r>
  </si>
  <si>
    <t>RTOG 0236</t>
  </si>
  <si>
    <r>
      <t xml:space="preserve">V20.8Gy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0.35cc</t>
    </r>
  </si>
  <si>
    <r>
      <t xml:space="preserve">V30Gy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30cc</t>
    </r>
  </si>
  <si>
    <r>
      <t xml:space="preserve">V13.6Gy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1.2cc</t>
    </r>
  </si>
  <si>
    <r>
      <t xml:space="preserve">V40Gy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10cc</t>
    </r>
  </si>
  <si>
    <r>
      <t xml:space="preserve">V23.6Gy </t>
    </r>
    <r>
      <rPr>
        <sz val="10"/>
        <rFont val="Symbol"/>
        <family val="1"/>
        <charset val="2"/>
      </rPr>
      <t xml:space="preserve">£ </t>
    </r>
    <r>
      <rPr>
        <sz val="10"/>
        <rFont val="Arial"/>
        <family val="2"/>
      </rPr>
      <t>3cc</t>
    </r>
  </si>
  <si>
    <r>
      <t xml:space="preserve">V30Gy </t>
    </r>
    <r>
      <rPr>
        <sz val="10"/>
        <rFont val="Symbol"/>
        <family val="1"/>
        <charset val="2"/>
      </rPr>
      <t xml:space="preserve">£ </t>
    </r>
    <r>
      <rPr>
        <sz val="10"/>
        <rFont val="Arial"/>
        <family val="2"/>
      </rPr>
      <t>10cc</t>
    </r>
  </si>
  <si>
    <r>
      <t xml:space="preserve">V28Gy </t>
    </r>
    <r>
      <rPr>
        <sz val="10"/>
        <rFont val="Symbol"/>
        <family val="1"/>
        <charset val="2"/>
      </rPr>
      <t xml:space="preserve">£ </t>
    </r>
    <r>
      <rPr>
        <sz val="10"/>
        <rFont val="Arial"/>
        <family val="2"/>
      </rPr>
      <t>15cc</t>
    </r>
  </si>
  <si>
    <r>
      <t xml:space="preserve">V18.8Gy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5cc</t>
    </r>
  </si>
  <si>
    <r>
      <t xml:space="preserve">V40Gy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5cc</t>
    </r>
  </si>
  <si>
    <r>
      <t>V15.6G y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4cc</t>
    </r>
  </si>
  <si>
    <r>
      <t xml:space="preserve">V30Gy </t>
    </r>
    <r>
      <rPr>
        <sz val="9"/>
        <rFont val="Symbol"/>
        <family val="1"/>
        <charset val="2"/>
      </rPr>
      <t xml:space="preserve">£ </t>
    </r>
    <r>
      <rPr>
        <sz val="9"/>
        <rFont val="Arial"/>
        <family val="2"/>
      </rPr>
      <t>3cc</t>
    </r>
  </si>
  <si>
    <r>
      <t xml:space="preserve">V36Gy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1cc</t>
    </r>
  </si>
  <si>
    <r>
      <t>V21Gy</t>
    </r>
    <r>
      <rPr>
        <vertAlign val="subscript"/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1cc</t>
    </r>
  </si>
  <si>
    <t>Trachea</t>
  </si>
  <si>
    <t>Bronchus</t>
  </si>
  <si>
    <t xml:space="preserve">&amp; Bronch. Tree: </t>
  </si>
  <si>
    <r>
      <t xml:space="preserve">V60Gy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5cc</t>
    </r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</si>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</sst>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4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sz val="10"/>
      <name val="Symbol"/>
      <family val="1"/>
      <charset val="2"/>
    </font>
    <font>
      <b/>
      <sz val="10"/>
      <color indexed="45"/>
      <name val="Arial"/>
      <family val="2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b/>
      <vertAlign val="subscript"/>
      <sz val="10"/>
      <name val="Symbol"/>
      <family val="1"/>
      <charset val="2"/>
    </font>
    <font>
      <sz val="10"/>
      <name val="Symbol"/>
      <family val="1"/>
      <charset val="2"/>
    </font>
    <font>
      <b/>
      <sz val="10"/>
      <color indexed="10"/>
      <name val="Arial"/>
      <family val="2"/>
    </font>
    <font>
      <i/>
      <sz val="8"/>
      <name val="Arial"/>
      <family val="2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ourier New"/>
      <family val="3"/>
    </font>
    <font>
      <sz val="11"/>
      <name val="Calibri"/>
      <family val="2"/>
    </font>
    <font>
      <b/>
      <sz val="14"/>
      <color indexed="8"/>
      <name val="Calibri"/>
      <family val="2"/>
    </font>
    <font>
      <b/>
      <sz val="9"/>
      <color indexed="8"/>
      <name val="Calibri"/>
      <family val="2"/>
    </font>
    <font>
      <b/>
      <sz val="11"/>
      <color indexed="10"/>
      <name val="Calibri"/>
      <family val="2"/>
    </font>
    <font>
      <i/>
      <sz val="11"/>
      <color indexed="8"/>
      <name val="Courier New"/>
      <family val="3"/>
    </font>
    <font>
      <b/>
      <vertAlign val="subscript"/>
      <sz val="14"/>
      <color indexed="8"/>
      <name val="Calibri"/>
      <family val="2"/>
    </font>
    <font>
      <sz val="9"/>
      <name val="Arial"/>
      <family val="2"/>
    </font>
    <font>
      <sz val="9"/>
      <name val="Symbol"/>
      <family val="1"/>
      <charset val="2"/>
    </font>
    <font>
      <sz val="9"/>
      <name val="Arial"/>
      <family val="2"/>
    </font>
    <font>
      <b/>
      <vertAlign val="subscript"/>
      <sz val="11"/>
      <color indexed="8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sz val="8"/>
      <name val="Calibri"/>
      <family val="2"/>
    </font>
    <font>
      <b/>
      <sz val="10"/>
      <color indexed="13"/>
      <name val="Arial"/>
      <family val="2"/>
    </font>
    <font>
      <b/>
      <sz val="10"/>
      <color indexed="9"/>
      <name val="Arial"/>
      <family val="2"/>
    </font>
    <font>
      <vertAlign val="subscript"/>
      <sz val="8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vertAlign val="subscript"/>
      <sz val="10"/>
      <name val="Symbol"/>
      <family val="1"/>
      <charset val="2"/>
    </font>
    <font>
      <sz val="10"/>
      <name val="Calibri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9" fillId="0" borderId="0" applyFont="0" applyFill="0" applyBorder="0" applyAlignment="0" applyProtection="0"/>
  </cellStyleXfs>
  <cellXfs count="3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0" borderId="8" xfId="0" applyFont="1" applyBorder="1" applyAlignment="1" applyProtection="1">
      <alignment horizontal="center"/>
    </xf>
    <xf numFmtId="0" fontId="3" fillId="0" borderId="9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</xf>
    <xf numFmtId="0" fontId="0" fillId="2" borderId="10" xfId="0" applyFill="1" applyBorder="1" applyAlignment="1" applyProtection="1">
      <alignment horizont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Protection="1">
      <protection locked="0"/>
    </xf>
    <xf numFmtId="49" fontId="3" fillId="2" borderId="0" xfId="0" applyNumberFormat="1" applyFont="1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3" borderId="12" xfId="0" applyFill="1" applyBorder="1"/>
    <xf numFmtId="0" fontId="0" fillId="3" borderId="13" xfId="0" applyFill="1" applyBorder="1"/>
    <xf numFmtId="0" fontId="15" fillId="3" borderId="13" xfId="0" applyFont="1" applyFill="1" applyBorder="1"/>
    <xf numFmtId="0" fontId="0" fillId="3" borderId="7" xfId="0" applyFill="1" applyBorder="1"/>
    <xf numFmtId="0" fontId="0" fillId="3" borderId="14" xfId="0" applyFill="1" applyBorder="1"/>
    <xf numFmtId="0" fontId="0" fillId="3" borderId="0" xfId="0" applyFill="1" applyBorder="1"/>
    <xf numFmtId="0" fontId="16" fillId="3" borderId="0" xfId="0" applyFont="1" applyFill="1" applyBorder="1"/>
    <xf numFmtId="0" fontId="0" fillId="3" borderId="10" xfId="0" applyFill="1" applyBorder="1"/>
    <xf numFmtId="0" fontId="17" fillId="3" borderId="13" xfId="0" applyFont="1" applyFill="1" applyBorder="1"/>
    <xf numFmtId="0" fontId="17" fillId="3" borderId="0" xfId="0" applyFont="1" applyFill="1" applyBorder="1"/>
    <xf numFmtId="0" fontId="0" fillId="3" borderId="14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0" xfId="0" applyFill="1" applyBorder="1" applyAlignment="1">
      <alignment horizontal="center"/>
    </xf>
    <xf numFmtId="0" fontId="0" fillId="3" borderId="12" xfId="0" applyFill="1" applyBorder="1" applyAlignment="1">
      <alignment horizontal="left" indent="3"/>
    </xf>
    <xf numFmtId="0" fontId="0" fillId="3" borderId="12" xfId="0" applyFill="1" applyBorder="1" applyAlignment="1">
      <alignment horizontal="left" indent="5"/>
    </xf>
    <xf numFmtId="0" fontId="0" fillId="3" borderId="13" xfId="0" applyFill="1" applyBorder="1" applyAlignment="1">
      <alignment horizontal="left" indent="5"/>
    </xf>
    <xf numFmtId="0" fontId="0" fillId="3" borderId="15" xfId="0" applyFill="1" applyBorder="1"/>
    <xf numFmtId="0" fontId="0" fillId="3" borderId="1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1" xfId="0" applyFill="1" applyBorder="1" applyAlignment="1">
      <alignment horizontal="left"/>
    </xf>
    <xf numFmtId="165" fontId="18" fillId="3" borderId="0" xfId="0" applyNumberFormat="1" applyFont="1" applyFill="1" applyBorder="1" applyAlignment="1" applyProtection="1">
      <alignment horizontal="center"/>
    </xf>
    <xf numFmtId="0" fontId="18" fillId="3" borderId="14" xfId="0" applyNumberFormat="1" applyFont="1" applyFill="1" applyBorder="1" applyAlignment="1" applyProtection="1">
      <alignment horizontal="center"/>
    </xf>
    <xf numFmtId="0" fontId="18" fillId="3" borderId="0" xfId="0" applyNumberFormat="1" applyFont="1" applyFill="1" applyBorder="1" applyAlignment="1" applyProtection="1">
      <alignment horizontal="center"/>
    </xf>
    <xf numFmtId="0" fontId="0" fillId="3" borderId="10" xfId="0" applyFill="1" applyBorder="1" applyAlignment="1">
      <alignment horizontal="center"/>
    </xf>
    <xf numFmtId="2" fontId="18" fillId="3" borderId="0" xfId="0" applyNumberFormat="1" applyFont="1" applyFill="1" applyBorder="1" applyAlignment="1" applyProtection="1">
      <alignment horizontal="center"/>
    </xf>
    <xf numFmtId="165" fontId="18" fillId="3" borderId="11" xfId="0" applyNumberFormat="1" applyFont="1" applyFill="1" applyBorder="1" applyAlignment="1" applyProtection="1">
      <alignment horizontal="center"/>
    </xf>
    <xf numFmtId="0" fontId="18" fillId="3" borderId="15" xfId="0" applyNumberFormat="1" applyFont="1" applyFill="1" applyBorder="1" applyAlignment="1" applyProtection="1">
      <alignment horizontal="center"/>
    </xf>
    <xf numFmtId="0" fontId="18" fillId="3" borderId="11" xfId="0" applyNumberFormat="1" applyFont="1" applyFill="1" applyBorder="1" applyAlignment="1" applyProtection="1">
      <alignment horizontal="center"/>
    </xf>
    <xf numFmtId="2" fontId="18" fillId="3" borderId="11" xfId="0" applyNumberFormat="1" applyFont="1" applyFill="1" applyBorder="1" applyAlignment="1" applyProtection="1">
      <alignment horizontal="center"/>
    </xf>
    <xf numFmtId="0" fontId="0" fillId="3" borderId="11" xfId="0" applyFill="1" applyBorder="1"/>
    <xf numFmtId="0" fontId="0" fillId="3" borderId="9" xfId="0" applyFill="1" applyBorder="1"/>
    <xf numFmtId="0" fontId="19" fillId="2" borderId="12" xfId="0" applyFont="1" applyFill="1" applyBorder="1"/>
    <xf numFmtId="0" fontId="0" fillId="2" borderId="13" xfId="0" applyFill="1" applyBorder="1"/>
    <xf numFmtId="0" fontId="19" fillId="2" borderId="13" xfId="0" applyFont="1" applyFill="1" applyBorder="1"/>
    <xf numFmtId="0" fontId="0" fillId="2" borderId="7" xfId="0" applyFill="1" applyBorder="1"/>
    <xf numFmtId="0" fontId="0" fillId="2" borderId="14" xfId="0" applyFill="1" applyBorder="1"/>
    <xf numFmtId="0" fontId="0" fillId="2" borderId="0" xfId="0" applyFill="1" applyBorder="1"/>
    <xf numFmtId="0" fontId="16" fillId="2" borderId="0" xfId="0" applyFont="1" applyFill="1" applyBorder="1" applyAlignment="1">
      <alignment horizontal="left"/>
    </xf>
    <xf numFmtId="0" fontId="16" fillId="2" borderId="0" xfId="0" applyFont="1" applyFill="1" applyBorder="1" applyAlignment="1">
      <alignment horizontal="center"/>
    </xf>
    <xf numFmtId="0" fontId="16" fillId="2" borderId="0" xfId="0" applyFont="1" applyFill="1" applyBorder="1"/>
    <xf numFmtId="0" fontId="0" fillId="2" borderId="10" xfId="0" applyFill="1" applyBorder="1"/>
    <xf numFmtId="0" fontId="20" fillId="2" borderId="0" xfId="0" applyFont="1" applyFill="1" applyBorder="1" applyAlignment="1">
      <alignment horizontal="center"/>
    </xf>
    <xf numFmtId="0" fontId="21" fillId="2" borderId="0" xfId="0" applyFont="1" applyFill="1" applyBorder="1"/>
    <xf numFmtId="0" fontId="21" fillId="2" borderId="10" xfId="0" applyFont="1" applyFill="1" applyBorder="1"/>
    <xf numFmtId="0" fontId="0" fillId="2" borderId="15" xfId="0" applyFill="1" applyBorder="1"/>
    <xf numFmtId="0" fontId="0" fillId="2" borderId="11" xfId="0" applyFill="1" applyBorder="1" applyAlignment="1">
      <alignment horizontal="center"/>
    </xf>
    <xf numFmtId="0" fontId="0" fillId="2" borderId="11" xfId="0" applyFill="1" applyBorder="1"/>
    <xf numFmtId="0" fontId="0" fillId="2" borderId="9" xfId="0" applyFill="1" applyBorder="1"/>
    <xf numFmtId="0" fontId="19" fillId="2" borderId="14" xfId="0" applyFont="1" applyFill="1" applyBorder="1"/>
    <xf numFmtId="0" fontId="0" fillId="2" borderId="0" xfId="0" applyFill="1" applyBorder="1" applyAlignment="1">
      <alignment horizontal="center"/>
    </xf>
    <xf numFmtId="0" fontId="19" fillId="2" borderId="0" xfId="0" applyFont="1" applyFill="1" applyBorder="1"/>
    <xf numFmtId="2" fontId="0" fillId="2" borderId="0" xfId="0" applyNumberFormat="1" applyFill="1" applyBorder="1" applyAlignment="1">
      <alignment horizontal="center"/>
    </xf>
    <xf numFmtId="0" fontId="19" fillId="2" borderId="0" xfId="0" applyFont="1" applyFill="1" applyBorder="1" applyAlignment="1">
      <alignment horizontal="right"/>
    </xf>
    <xf numFmtId="0" fontId="15" fillId="0" borderId="0" xfId="0" applyFont="1"/>
    <xf numFmtId="0" fontId="17" fillId="0" borderId="0" xfId="0" applyFont="1"/>
    <xf numFmtId="0" fontId="3" fillId="0" borderId="8" xfId="0" applyFont="1" applyBorder="1" applyAlignment="1" applyProtection="1">
      <alignment horizontal="center" shrinkToFit="1"/>
    </xf>
    <xf numFmtId="0" fontId="3" fillId="0" borderId="9" xfId="0" applyFont="1" applyBorder="1" applyAlignment="1" applyProtection="1">
      <alignment horizontal="center" shrinkToFit="1"/>
    </xf>
    <xf numFmtId="0" fontId="0" fillId="0" borderId="12" xfId="0" applyBorder="1" applyProtection="1"/>
    <xf numFmtId="0" fontId="0" fillId="0" borderId="13" xfId="0" applyBorder="1" applyProtection="1"/>
    <xf numFmtId="0" fontId="0" fillId="0" borderId="13" xfId="0" applyBorder="1" applyAlignment="1" applyProtection="1">
      <alignment horizontal="center"/>
    </xf>
    <xf numFmtId="0" fontId="3" fillId="0" borderId="13" xfId="0" applyFont="1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0" xfId="0" applyAlignment="1" applyProtection="1">
      <alignment horizontal="left"/>
    </xf>
    <xf numFmtId="0" fontId="0" fillId="0" borderId="0" xfId="0" applyProtection="1"/>
    <xf numFmtId="0" fontId="0" fillId="0" borderId="15" xfId="0" applyBorder="1" applyProtection="1"/>
    <xf numFmtId="0" fontId="0" fillId="0" borderId="11" xfId="0" applyBorder="1" applyProtection="1"/>
    <xf numFmtId="0" fontId="0" fillId="0" borderId="11" xfId="0" applyBorder="1" applyAlignment="1" applyProtection="1">
      <alignment horizontal="center"/>
    </xf>
    <xf numFmtId="0" fontId="6" fillId="0" borderId="11" xfId="0" applyFont="1" applyBorder="1" applyAlignment="1" applyProtection="1">
      <alignment horizontal="center"/>
    </xf>
    <xf numFmtId="0" fontId="0" fillId="0" borderId="9" xfId="0" applyBorder="1" applyAlignment="1" applyProtection="1">
      <alignment horizontal="center"/>
    </xf>
    <xf numFmtId="0" fontId="0" fillId="0" borderId="14" xfId="0" applyBorder="1" applyProtection="1"/>
    <xf numFmtId="0" fontId="3" fillId="0" borderId="0" xfId="0" applyFont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12" xfId="0" applyFont="1" applyBorder="1" applyProtection="1"/>
    <xf numFmtId="0" fontId="0" fillId="0" borderId="10" xfId="0" applyBorder="1" applyAlignment="1" applyProtection="1">
      <alignment horizontal="center"/>
    </xf>
    <xf numFmtId="0" fontId="3" fillId="0" borderId="14" xfId="0" applyFont="1" applyBorder="1" applyProtection="1"/>
    <xf numFmtId="0" fontId="3" fillId="4" borderId="0" xfId="0" applyFont="1" applyFill="1" applyBorder="1" applyProtection="1"/>
    <xf numFmtId="0" fontId="0" fillId="4" borderId="0" xfId="0" applyFill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</xf>
    <xf numFmtId="0" fontId="4" fillId="0" borderId="10" xfId="0" applyFont="1" applyFill="1" applyBorder="1" applyAlignment="1" applyProtection="1">
      <alignment horizontal="center"/>
    </xf>
    <xf numFmtId="0" fontId="0" fillId="0" borderId="16" xfId="0" applyBorder="1" applyProtection="1"/>
    <xf numFmtId="0" fontId="0" fillId="0" borderId="17" xfId="0" applyBorder="1" applyProtection="1"/>
    <xf numFmtId="0" fontId="4" fillId="0" borderId="1" xfId="0" applyFont="1" applyBorder="1" applyAlignment="1" applyProtection="1">
      <alignment horizontal="center"/>
    </xf>
    <xf numFmtId="0" fontId="4" fillId="0" borderId="17" xfId="0" applyFont="1" applyBorder="1" applyAlignment="1" applyProtection="1">
      <alignment horizontal="center"/>
    </xf>
    <xf numFmtId="0" fontId="4" fillId="0" borderId="17" xfId="0" applyFont="1" applyBorder="1" applyProtection="1"/>
    <xf numFmtId="0" fontId="4" fillId="0" borderId="6" xfId="0" applyFont="1" applyFill="1" applyBorder="1" applyAlignment="1" applyProtection="1">
      <alignment horizontal="center"/>
    </xf>
    <xf numFmtId="0" fontId="4" fillId="0" borderId="0" xfId="0" applyFont="1" applyFill="1" applyAlignment="1" applyProtection="1">
      <alignment horizontal="left"/>
    </xf>
    <xf numFmtId="0" fontId="0" fillId="0" borderId="18" xfId="0" applyBorder="1" applyProtection="1"/>
    <xf numFmtId="0" fontId="4" fillId="0" borderId="4" xfId="0" applyFont="1" applyBorder="1" applyAlignment="1" applyProtection="1">
      <alignment horizontal="center"/>
    </xf>
    <xf numFmtId="0" fontId="0" fillId="0" borderId="17" xfId="0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3" fillId="0" borderId="13" xfId="0" applyFont="1" applyBorder="1" applyProtection="1"/>
    <xf numFmtId="9" fontId="0" fillId="0" borderId="13" xfId="0" applyNumberFormat="1" applyBorder="1" applyAlignment="1" applyProtection="1">
      <alignment horizontal="center"/>
    </xf>
    <xf numFmtId="0" fontId="0" fillId="0" borderId="19" xfId="0" applyBorder="1" applyAlignment="1" applyProtection="1">
      <alignment horizontal="center"/>
    </xf>
    <xf numFmtId="0" fontId="0" fillId="0" borderId="20" xfId="0" applyBorder="1" applyAlignment="1" applyProtection="1">
      <alignment horizontal="center"/>
    </xf>
    <xf numFmtId="0" fontId="0" fillId="0" borderId="21" xfId="0" applyBorder="1" applyAlignment="1" applyProtection="1">
      <alignment horizontal="center"/>
    </xf>
    <xf numFmtId="0" fontId="0" fillId="0" borderId="22" xfId="0" applyBorder="1" applyProtection="1"/>
    <xf numFmtId="9" fontId="0" fillId="0" borderId="2" xfId="0" applyNumberFormat="1" applyBorder="1" applyAlignment="1" applyProtection="1">
      <alignment horizontal="center"/>
    </xf>
    <xf numFmtId="0" fontId="0" fillId="0" borderId="23" xfId="0" applyBorder="1" applyProtection="1"/>
    <xf numFmtId="0" fontId="0" fillId="0" borderId="24" xfId="0" applyBorder="1" applyAlignment="1" applyProtection="1">
      <alignment horizontal="center"/>
    </xf>
    <xf numFmtId="9" fontId="0" fillId="0" borderId="11" xfId="0" applyNumberFormat="1" applyBorder="1" applyProtection="1"/>
    <xf numFmtId="9" fontId="0" fillId="0" borderId="5" xfId="0" applyNumberFormat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25" xfId="0" applyFont="1" applyBorder="1" applyProtection="1"/>
    <xf numFmtId="0" fontId="0" fillId="0" borderId="22" xfId="0" applyBorder="1" applyAlignment="1" applyProtection="1">
      <alignment horizontal="center"/>
    </xf>
    <xf numFmtId="0" fontId="3" fillId="0" borderId="15" xfId="0" applyFont="1" applyBorder="1" applyProtection="1"/>
    <xf numFmtId="0" fontId="3" fillId="0" borderId="23" xfId="0" applyFont="1" applyBorder="1" applyProtection="1"/>
    <xf numFmtId="2" fontId="1" fillId="0" borderId="11" xfId="2" applyNumberFormat="1" applyFont="1" applyBorder="1" applyProtection="1"/>
    <xf numFmtId="0" fontId="0" fillId="0" borderId="5" xfId="0" applyBorder="1" applyAlignment="1" applyProtection="1">
      <alignment horizontal="center"/>
    </xf>
    <xf numFmtId="0" fontId="3" fillId="0" borderId="22" xfId="0" applyFont="1" applyBorder="1" applyProtection="1"/>
    <xf numFmtId="0" fontId="0" fillId="0" borderId="26" xfId="0" applyBorder="1" applyAlignment="1" applyProtection="1">
      <alignment horizontal="center"/>
    </xf>
    <xf numFmtId="166" fontId="1" fillId="0" borderId="22" xfId="2" applyNumberFormat="1" applyBorder="1" applyAlignment="1" applyProtection="1">
      <alignment horizontal="center"/>
    </xf>
    <xf numFmtId="0" fontId="0" fillId="0" borderId="22" xfId="0" applyBorder="1" applyAlignment="1" applyProtection="1"/>
    <xf numFmtId="0" fontId="5" fillId="0" borderId="0" xfId="0" applyFont="1" applyAlignment="1" applyProtection="1">
      <alignment horizontal="left"/>
    </xf>
    <xf numFmtId="2" fontId="1" fillId="0" borderId="11" xfId="0" applyNumberFormat="1" applyFont="1" applyBorder="1" applyAlignment="1" applyProtection="1">
      <alignment horizontal="center"/>
    </xf>
    <xf numFmtId="2" fontId="0" fillId="0" borderId="11" xfId="0" applyNumberFormat="1" applyBorder="1" applyProtection="1"/>
    <xf numFmtId="0" fontId="5" fillId="0" borderId="0" xfId="0" applyFont="1" applyBorder="1" applyProtection="1"/>
    <xf numFmtId="0" fontId="5" fillId="0" borderId="4" xfId="0" applyFont="1" applyBorder="1" applyAlignment="1" applyProtection="1">
      <alignment horizontal="center"/>
    </xf>
    <xf numFmtId="0" fontId="5" fillId="0" borderId="10" xfId="0" applyFont="1" applyBorder="1" applyAlignment="1" applyProtection="1">
      <alignment horizontal="center"/>
    </xf>
    <xf numFmtId="0" fontId="0" fillId="0" borderId="27" xfId="0" applyBorder="1" applyAlignment="1" applyProtection="1">
      <alignment horizontal="center"/>
    </xf>
    <xf numFmtId="0" fontId="0" fillId="0" borderId="27" xfId="0" applyBorder="1" applyProtection="1"/>
    <xf numFmtId="0" fontId="0" fillId="0" borderId="3" xfId="0" applyBorder="1" applyAlignment="1" applyProtection="1">
      <alignment horizontal="center"/>
    </xf>
    <xf numFmtId="0" fontId="2" fillId="0" borderId="17" xfId="0" applyFont="1" applyBorder="1" applyAlignment="1" applyProtection="1">
      <alignment horizontal="right"/>
    </xf>
    <xf numFmtId="0" fontId="2" fillId="0" borderId="0" xfId="0" applyFont="1" applyBorder="1" applyAlignment="1" applyProtection="1">
      <alignment horizontal="right"/>
    </xf>
    <xf numFmtId="0" fontId="0" fillId="0" borderId="28" xfId="0" applyBorder="1" applyProtection="1"/>
    <xf numFmtId="0" fontId="12" fillId="0" borderId="0" xfId="0" applyFont="1" applyBorder="1" applyProtection="1"/>
    <xf numFmtId="0" fontId="14" fillId="0" borderId="0" xfId="0" applyFont="1" applyProtection="1"/>
    <xf numFmtId="0" fontId="0" fillId="0" borderId="0" xfId="0" applyAlignment="1" applyProtection="1">
      <alignment horizontal="center"/>
    </xf>
    <xf numFmtId="0" fontId="8" fillId="0" borderId="17" xfId="0" applyFont="1" applyBorder="1" applyAlignment="1" applyProtection="1">
      <alignment horizontal="center" shrinkToFit="1"/>
    </xf>
    <xf numFmtId="9" fontId="0" fillId="0" borderId="13" xfId="0" applyNumberFormat="1" applyBorder="1" applyAlignment="1" applyProtection="1">
      <alignment shrinkToFit="1"/>
    </xf>
    <xf numFmtId="166" fontId="1" fillId="0" borderId="2" xfId="2" applyNumberFormat="1" applyFont="1" applyFill="1" applyBorder="1" applyAlignment="1" applyProtection="1">
      <alignment horizontal="center"/>
    </xf>
    <xf numFmtId="2" fontId="1" fillId="0" borderId="5" xfId="0" applyNumberFormat="1" applyFont="1" applyFill="1" applyBorder="1" applyAlignment="1" applyProtection="1">
      <alignment horizontal="center"/>
    </xf>
    <xf numFmtId="0" fontId="19" fillId="2" borderId="14" xfId="0" applyFont="1" applyFill="1" applyBorder="1" applyAlignment="1">
      <alignment horizontal="right"/>
    </xf>
    <xf numFmtId="0" fontId="21" fillId="2" borderId="0" xfId="0" applyFont="1" applyFill="1" applyBorder="1" applyAlignment="1">
      <alignment shrinkToFit="1"/>
    </xf>
    <xf numFmtId="10" fontId="1" fillId="0" borderId="2" xfId="2" applyNumberFormat="1" applyFill="1" applyBorder="1" applyAlignment="1" applyProtection="1">
      <alignment horizontal="center"/>
    </xf>
    <xf numFmtId="2" fontId="0" fillId="0" borderId="5" xfId="0" applyNumberForma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3" fillId="0" borderId="0" xfId="0" applyFont="1"/>
    <xf numFmtId="0" fontId="13" fillId="0" borderId="0" xfId="0" applyFont="1" applyAlignment="1">
      <alignment horizontal="center"/>
    </xf>
    <xf numFmtId="0" fontId="4" fillId="2" borderId="3" xfId="0" applyFont="1" applyFill="1" applyBorder="1" applyAlignment="1" applyProtection="1">
      <alignment horizontal="center"/>
      <protection locked="0"/>
    </xf>
    <xf numFmtId="166" fontId="0" fillId="2" borderId="17" xfId="2" applyNumberFormat="1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0" fontId="0" fillId="2" borderId="29" xfId="0" applyFill="1" applyBorder="1" applyAlignment="1" applyProtection="1">
      <alignment horizontal="center"/>
      <protection locked="0"/>
    </xf>
    <xf numFmtId="10" fontId="5" fillId="0" borderId="22" xfId="2" applyNumberFormat="1" applyFont="1" applyBorder="1" applyAlignment="1" applyProtection="1">
      <alignment horizontal="center"/>
    </xf>
    <xf numFmtId="164" fontId="5" fillId="0" borderId="11" xfId="0" applyNumberFormat="1" applyFont="1" applyBorder="1" applyAlignment="1" applyProtection="1">
      <alignment horizontal="center"/>
    </xf>
    <xf numFmtId="10" fontId="5" fillId="2" borderId="22" xfId="0" applyNumberFormat="1" applyFont="1" applyFill="1" applyBorder="1" applyAlignment="1" applyProtection="1">
      <alignment horizontal="center"/>
      <protection locked="0"/>
    </xf>
    <xf numFmtId="10" fontId="5" fillId="2" borderId="11" xfId="0" applyNumberFormat="1" applyFont="1" applyFill="1" applyBorder="1" applyAlignment="1" applyProtection="1">
      <alignment horizontal="center"/>
      <protection locked="0"/>
    </xf>
    <xf numFmtId="0" fontId="29" fillId="0" borderId="11" xfId="0" applyFont="1" applyBorder="1" applyAlignment="1" applyProtection="1">
      <alignment horizontal="center"/>
    </xf>
    <xf numFmtId="0" fontId="5" fillId="2" borderId="0" xfId="0" applyFont="1" applyFill="1" applyBorder="1" applyAlignment="1" applyProtection="1">
      <alignment horizontal="center"/>
      <protection locked="0"/>
    </xf>
    <xf numFmtId="0" fontId="29" fillId="0" borderId="0" xfId="0" applyFont="1" applyBorder="1" applyProtection="1"/>
    <xf numFmtId="0" fontId="0" fillId="0" borderId="30" xfId="0" applyBorder="1" applyProtection="1"/>
    <xf numFmtId="0" fontId="29" fillId="0" borderId="26" xfId="0" applyFont="1" applyBorder="1" applyAlignment="1" applyProtection="1">
      <alignment horizontal="right"/>
    </xf>
    <xf numFmtId="0" fontId="2" fillId="0" borderId="26" xfId="0" applyFont="1" applyBorder="1" applyAlignment="1" applyProtection="1">
      <alignment horizontal="right"/>
    </xf>
    <xf numFmtId="0" fontId="3" fillId="2" borderId="2" xfId="0" applyFont="1" applyFill="1" applyBorder="1" applyAlignment="1" applyProtection="1">
      <alignment horizontal="center"/>
      <protection locked="0"/>
    </xf>
    <xf numFmtId="0" fontId="5" fillId="2" borderId="0" xfId="0" applyFont="1" applyFill="1" applyBorder="1" applyProtection="1">
      <protection locked="0"/>
    </xf>
    <xf numFmtId="0" fontId="5" fillId="0" borderId="22" xfId="0" applyFont="1" applyBorder="1" applyAlignment="1" applyProtection="1">
      <alignment horizontal="center"/>
    </xf>
    <xf numFmtId="10" fontId="30" fillId="0" borderId="22" xfId="0" applyNumberFormat="1" applyFont="1" applyFill="1" applyBorder="1" applyAlignment="1" applyProtection="1">
      <alignment horizontal="center"/>
    </xf>
    <xf numFmtId="10" fontId="5" fillId="2" borderId="2" xfId="0" applyNumberFormat="1" applyFont="1" applyFill="1" applyBorder="1" applyAlignment="1" applyProtection="1">
      <alignment horizontal="center"/>
      <protection locked="0"/>
    </xf>
    <xf numFmtId="0" fontId="29" fillId="0" borderId="11" xfId="0" applyFont="1" applyBorder="1" applyAlignment="1" applyProtection="1">
      <alignment horizontal="right"/>
    </xf>
    <xf numFmtId="0" fontId="0" fillId="0" borderId="31" xfId="0" applyBorder="1" applyProtection="1"/>
    <xf numFmtId="0" fontId="12" fillId="0" borderId="32" xfId="0" applyFont="1" applyBorder="1" applyAlignment="1" applyProtection="1">
      <alignment horizontal="center"/>
    </xf>
    <xf numFmtId="10" fontId="30" fillId="0" borderId="31" xfId="0" applyNumberFormat="1" applyFont="1" applyFill="1" applyBorder="1" applyAlignment="1" applyProtection="1">
      <alignment horizontal="center"/>
    </xf>
    <xf numFmtId="10" fontId="5" fillId="0" borderId="22" xfId="0" applyNumberFormat="1" applyFont="1" applyFill="1" applyBorder="1" applyAlignment="1" applyProtection="1">
      <alignment horizontal="center"/>
    </xf>
    <xf numFmtId="0" fontId="3" fillId="0" borderId="0" xfId="0" applyFont="1" applyFill="1" applyAlignment="1">
      <alignment horizontal="center"/>
    </xf>
    <xf numFmtId="0" fontId="5" fillId="0" borderId="11" xfId="0" applyFont="1" applyBorder="1" applyAlignment="1" applyProtection="1">
      <alignment horizontal="right"/>
    </xf>
    <xf numFmtId="0" fontId="5" fillId="0" borderId="14" xfId="0" applyFont="1" applyBorder="1" applyProtection="1"/>
    <xf numFmtId="0" fontId="3" fillId="0" borderId="33" xfId="0" applyFont="1" applyBorder="1" applyAlignment="1" applyProtection="1">
      <alignment horizontal="center"/>
    </xf>
    <xf numFmtId="0" fontId="3" fillId="0" borderId="34" xfId="0" applyFont="1" applyBorder="1" applyAlignment="1" applyProtection="1">
      <alignment horizontal="center"/>
    </xf>
    <xf numFmtId="0" fontId="0" fillId="2" borderId="32" xfId="0" applyFill="1" applyBorder="1" applyAlignment="1" applyProtection="1">
      <alignment horizontal="center"/>
      <protection locked="0"/>
    </xf>
    <xf numFmtId="0" fontId="5" fillId="2" borderId="2" xfId="0" applyFont="1" applyFill="1" applyBorder="1" applyAlignment="1" applyProtection="1">
      <alignment horizontal="center"/>
      <protection locked="0"/>
    </xf>
    <xf numFmtId="166" fontId="5" fillId="2" borderId="32" xfId="0" applyNumberFormat="1" applyFont="1" applyFill="1" applyBorder="1" applyAlignment="1" applyProtection="1">
      <alignment horizontal="center"/>
      <protection locked="0"/>
    </xf>
    <xf numFmtId="166" fontId="5" fillId="2" borderId="2" xfId="0" applyNumberFormat="1" applyFont="1" applyFill="1" applyBorder="1" applyAlignment="1" applyProtection="1">
      <alignment horizontal="center"/>
      <protection locked="0"/>
    </xf>
    <xf numFmtId="166" fontId="1" fillId="0" borderId="2" xfId="2" applyNumberFormat="1" applyFill="1" applyBorder="1" applyAlignment="1" applyProtection="1">
      <alignment horizontal="center"/>
    </xf>
    <xf numFmtId="166" fontId="5" fillId="2" borderId="2" xfId="2" applyNumberFormat="1" applyFont="1" applyFill="1" applyBorder="1" applyAlignment="1" applyProtection="1">
      <alignment horizontal="center"/>
      <protection locked="0"/>
    </xf>
    <xf numFmtId="0" fontId="14" fillId="0" borderId="4" xfId="0" applyFont="1" applyBorder="1" applyAlignment="1" applyProtection="1">
      <alignment horizontal="center"/>
    </xf>
    <xf numFmtId="0" fontId="3" fillId="0" borderId="35" xfId="0" applyFont="1" applyBorder="1" applyAlignment="1" applyProtection="1">
      <alignment horizontal="center"/>
    </xf>
    <xf numFmtId="0" fontId="12" fillId="0" borderId="2" xfId="0" applyFont="1" applyBorder="1" applyAlignment="1" applyProtection="1">
      <alignment horizontal="center"/>
    </xf>
    <xf numFmtId="0" fontId="5" fillId="0" borderId="28" xfId="0" applyFont="1" applyBorder="1" applyProtection="1"/>
    <xf numFmtId="0" fontId="35" fillId="5" borderId="0" xfId="0" applyFont="1" applyFill="1" applyProtection="1"/>
    <xf numFmtId="0" fontId="36" fillId="5" borderId="0" xfId="0" applyFont="1" applyFill="1" applyProtection="1"/>
    <xf numFmtId="0" fontId="36" fillId="5" borderId="0" xfId="0" applyFont="1" applyFill="1" applyAlignment="1" applyProtection="1">
      <alignment horizontal="center"/>
    </xf>
    <xf numFmtId="0" fontId="35" fillId="5" borderId="0" xfId="0" applyFont="1" applyFill="1" applyAlignment="1" applyProtection="1">
      <alignment horizontal="left"/>
    </xf>
    <xf numFmtId="0" fontId="35" fillId="5" borderId="0" xfId="0" applyFont="1" applyFill="1" applyAlignment="1" applyProtection="1">
      <alignment horizontal="center"/>
    </xf>
    <xf numFmtId="0" fontId="3" fillId="4" borderId="13" xfId="0" applyFont="1" applyFill="1" applyBorder="1" applyProtection="1"/>
    <xf numFmtId="0" fontId="0" fillId="4" borderId="13" xfId="0" applyFill="1" applyBorder="1" applyAlignment="1" applyProtection="1">
      <alignment horizontal="center"/>
    </xf>
    <xf numFmtId="0" fontId="0" fillId="4" borderId="36" xfId="0" applyFill="1" applyBorder="1" applyAlignment="1" applyProtection="1">
      <alignment horizontal="center"/>
    </xf>
    <xf numFmtId="0" fontId="4" fillId="0" borderId="13" xfId="0" applyFont="1" applyBorder="1" applyAlignment="1" applyProtection="1">
      <alignment horizontal="center"/>
    </xf>
    <xf numFmtId="0" fontId="4" fillId="0" borderId="7" xfId="0" applyFont="1" applyFill="1" applyBorder="1" applyAlignment="1" applyProtection="1">
      <alignment horizontal="center"/>
    </xf>
    <xf numFmtId="0" fontId="4" fillId="0" borderId="37" xfId="0" applyFont="1" applyBorder="1" applyAlignment="1" applyProtection="1">
      <alignment horizontal="center"/>
    </xf>
    <xf numFmtId="0" fontId="3" fillId="0" borderId="27" xfId="0" applyFont="1" applyBorder="1" applyProtection="1"/>
    <xf numFmtId="0" fontId="5" fillId="0" borderId="1" xfId="0" applyFont="1" applyBorder="1" applyAlignment="1" applyProtection="1">
      <alignment horizontal="center"/>
    </xf>
    <xf numFmtId="166" fontId="0" fillId="0" borderId="17" xfId="0" applyNumberFormat="1" applyBorder="1" applyAlignment="1" applyProtection="1">
      <alignment horizontal="center"/>
    </xf>
    <xf numFmtId="0" fontId="8" fillId="0" borderId="17" xfId="0" applyFont="1" applyBorder="1" applyAlignment="1" applyProtection="1">
      <alignment horizontal="center"/>
    </xf>
    <xf numFmtId="165" fontId="0" fillId="0" borderId="19" xfId="0" applyNumberFormat="1" applyBorder="1" applyAlignment="1" applyProtection="1">
      <alignment horizontal="center"/>
    </xf>
    <xf numFmtId="9" fontId="0" fillId="0" borderId="13" xfId="0" applyNumberFormat="1" applyBorder="1" applyProtection="1"/>
    <xf numFmtId="166" fontId="5" fillId="0" borderId="17" xfId="0" applyNumberFormat="1" applyFont="1" applyFill="1" applyBorder="1" applyAlignment="1" applyProtection="1">
      <alignment horizontal="center"/>
    </xf>
    <xf numFmtId="166" fontId="5" fillId="0" borderId="38" xfId="0" applyNumberFormat="1" applyFont="1" applyFill="1" applyBorder="1" applyAlignment="1" applyProtection="1">
      <alignment horizontal="center"/>
    </xf>
    <xf numFmtId="166" fontId="5" fillId="0" borderId="22" xfId="2" applyNumberFormat="1" applyFont="1" applyBorder="1" applyAlignment="1" applyProtection="1">
      <alignment horizontal="center"/>
    </xf>
    <xf numFmtId="0" fontId="5" fillId="0" borderId="22" xfId="0" applyFont="1" applyBorder="1" applyProtection="1"/>
    <xf numFmtId="10" fontId="1" fillId="0" borderId="22" xfId="2" applyNumberFormat="1" applyBorder="1" applyAlignment="1" applyProtection="1">
      <alignment horizontal="center"/>
    </xf>
    <xf numFmtId="0" fontId="5" fillId="0" borderId="11" xfId="0" applyFont="1" applyBorder="1" applyAlignment="1" applyProtection="1">
      <alignment horizontal="left"/>
    </xf>
    <xf numFmtId="0" fontId="0" fillId="0" borderId="39" xfId="0" applyBorder="1" applyAlignment="1" applyProtection="1">
      <alignment horizontal="center"/>
    </xf>
    <xf numFmtId="0" fontId="0" fillId="0" borderId="14" xfId="0" applyBorder="1" applyAlignment="1" applyProtection="1">
      <alignment horizontal="left"/>
    </xf>
    <xf numFmtId="10" fontId="29" fillId="0" borderId="22" xfId="0" applyNumberFormat="1" applyFont="1" applyFill="1" applyBorder="1" applyAlignment="1" applyProtection="1">
      <alignment horizontal="left"/>
    </xf>
    <xf numFmtId="0" fontId="5" fillId="0" borderId="3" xfId="0" applyFont="1" applyBorder="1" applyAlignment="1" applyProtection="1">
      <alignment horizontal="center"/>
    </xf>
    <xf numFmtId="10" fontId="5" fillId="0" borderId="14" xfId="0" applyNumberFormat="1" applyFont="1" applyFill="1" applyBorder="1" applyAlignment="1" applyProtection="1">
      <alignment horizontal="left"/>
    </xf>
    <xf numFmtId="0" fontId="29" fillId="0" borderId="26" xfId="0" applyFont="1" applyBorder="1" applyAlignment="1" applyProtection="1">
      <alignment horizontal="right" vertical="center"/>
    </xf>
    <xf numFmtId="0" fontId="5" fillId="0" borderId="30" xfId="0" applyFont="1" applyBorder="1" applyProtection="1"/>
    <xf numFmtId="0" fontId="5" fillId="0" borderId="27" xfId="0" applyFont="1" applyBorder="1" applyProtection="1"/>
    <xf numFmtId="0" fontId="3" fillId="0" borderId="29" xfId="0" applyFont="1" applyBorder="1" applyAlignment="1" applyProtection="1">
      <alignment horizontal="right" vertical="center"/>
    </xf>
    <xf numFmtId="0" fontId="4" fillId="0" borderId="2" xfId="0" applyFont="1" applyBorder="1" applyAlignment="1" applyProtection="1">
      <alignment horizontal="center"/>
    </xf>
    <xf numFmtId="0" fontId="29" fillId="0" borderId="22" xfId="0" applyFont="1" applyBorder="1" applyProtection="1"/>
    <xf numFmtId="0" fontId="2" fillId="0" borderId="26" xfId="0" applyFont="1" applyBorder="1" applyAlignment="1" applyProtection="1">
      <alignment horizontal="right" vertical="center"/>
    </xf>
    <xf numFmtId="0" fontId="3" fillId="0" borderId="26" xfId="0" applyFont="1" applyBorder="1" applyAlignment="1" applyProtection="1">
      <alignment horizontal="right" vertical="center"/>
    </xf>
    <xf numFmtId="0" fontId="3" fillId="0" borderId="0" xfId="0" applyFont="1" applyBorder="1" applyAlignment="1" applyProtection="1">
      <alignment horizontal="right" vertical="center"/>
    </xf>
    <xf numFmtId="0" fontId="0" fillId="0" borderId="40" xfId="0" applyBorder="1" applyProtection="1"/>
    <xf numFmtId="0" fontId="29" fillId="0" borderId="22" xfId="0" applyFont="1" applyBorder="1" applyAlignment="1" applyProtection="1">
      <alignment horizontal="right" vertical="center"/>
    </xf>
    <xf numFmtId="0" fontId="3" fillId="0" borderId="27" xfId="0" applyFont="1" applyBorder="1" applyAlignment="1" applyProtection="1">
      <alignment horizontal="right" vertical="center"/>
    </xf>
    <xf numFmtId="0" fontId="5" fillId="0" borderId="27" xfId="0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horizontal="left"/>
    </xf>
    <xf numFmtId="0" fontId="3" fillId="0" borderId="17" xfId="0" applyFont="1" applyBorder="1" applyAlignment="1" applyProtection="1">
      <alignment horizontal="right" vertical="center"/>
    </xf>
    <xf numFmtId="0" fontId="2" fillId="0" borderId="17" xfId="0" applyFont="1" applyBorder="1" applyAlignment="1" applyProtection="1">
      <alignment horizontal="right" vertical="center"/>
    </xf>
    <xf numFmtId="0" fontId="3" fillId="0" borderId="41" xfId="0" applyFont="1" applyBorder="1" applyAlignment="1" applyProtection="1">
      <alignment horizontal="center"/>
    </xf>
    <xf numFmtId="0" fontId="2" fillId="0" borderId="29" xfId="0" applyFont="1" applyBorder="1" applyAlignment="1" applyProtection="1">
      <alignment horizontal="right" vertical="center"/>
    </xf>
    <xf numFmtId="0" fontId="3" fillId="0" borderId="42" xfId="0" applyFont="1" applyBorder="1" applyAlignment="1" applyProtection="1">
      <alignment horizontal="center"/>
    </xf>
    <xf numFmtId="0" fontId="5" fillId="0" borderId="14" xfId="0" applyFont="1" applyBorder="1" applyAlignment="1" applyProtection="1">
      <alignment horizontal="left"/>
    </xf>
    <xf numFmtId="0" fontId="5" fillId="0" borderId="27" xfId="0" applyFont="1" applyBorder="1" applyAlignment="1" applyProtection="1"/>
    <xf numFmtId="0" fontId="26" fillId="0" borderId="11" xfId="0" applyFont="1" applyBorder="1" applyAlignment="1" applyProtection="1">
      <alignment horizontal="center"/>
    </xf>
    <xf numFmtId="0" fontId="26" fillId="0" borderId="11" xfId="0" applyFont="1" applyBorder="1" applyProtection="1"/>
    <xf numFmtId="0" fontId="26" fillId="0" borderId="9" xfId="0" applyFont="1" applyBorder="1" applyAlignment="1" applyProtection="1">
      <alignment horizontal="center"/>
    </xf>
    <xf numFmtId="0" fontId="4" fillId="0" borderId="3" xfId="0" applyFont="1" applyBorder="1" applyAlignment="1" applyProtection="1">
      <alignment horizontal="center"/>
    </xf>
    <xf numFmtId="0" fontId="0" fillId="0" borderId="25" xfId="0" applyBorder="1" applyAlignment="1" applyProtection="1">
      <alignment horizontal="center"/>
    </xf>
    <xf numFmtId="0" fontId="3" fillId="0" borderId="11" xfId="0" applyFont="1" applyBorder="1" applyAlignment="1" applyProtection="1">
      <alignment horizontal="left"/>
    </xf>
    <xf numFmtId="0" fontId="3" fillId="0" borderId="29" xfId="0" applyFont="1" applyBorder="1" applyAlignment="1" applyProtection="1">
      <alignment horizontal="center"/>
    </xf>
    <xf numFmtId="0" fontId="3" fillId="0" borderId="27" xfId="0" applyFont="1" applyBorder="1" applyAlignment="1" applyProtection="1">
      <alignment horizontal="center"/>
    </xf>
    <xf numFmtId="0" fontId="3" fillId="0" borderId="31" xfId="0" applyFont="1" applyBorder="1" applyAlignment="1" applyProtection="1">
      <alignment horizontal="center"/>
    </xf>
    <xf numFmtId="0" fontId="0" fillId="0" borderId="11" xfId="0" applyFill="1" applyBorder="1" applyProtection="1"/>
    <xf numFmtId="0" fontId="0" fillId="0" borderId="11" xfId="0" applyFill="1" applyBorder="1" applyAlignment="1" applyProtection="1">
      <alignment horizontal="center"/>
    </xf>
    <xf numFmtId="0" fontId="5" fillId="0" borderId="11" xfId="0" applyFont="1" applyFill="1" applyBorder="1" applyAlignment="1" applyProtection="1">
      <alignment horizontal="center"/>
    </xf>
    <xf numFmtId="0" fontId="0" fillId="0" borderId="9" xfId="0" applyFill="1" applyBorder="1" applyAlignment="1" applyProtection="1">
      <alignment horizontal="center"/>
    </xf>
    <xf numFmtId="165" fontId="0" fillId="0" borderId="1" xfId="0" applyNumberFormat="1" applyBorder="1" applyAlignment="1" applyProtection="1">
      <alignment horizontal="center"/>
    </xf>
    <xf numFmtId="165" fontId="0" fillId="0" borderId="2" xfId="0" applyNumberFormat="1" applyBorder="1" applyAlignment="1" applyProtection="1">
      <alignment horizontal="center"/>
    </xf>
    <xf numFmtId="165" fontId="0" fillId="0" borderId="5" xfId="0" applyNumberForma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0" fontId="5" fillId="0" borderId="13" xfId="0" applyFont="1" applyBorder="1" applyAlignment="1" applyProtection="1">
      <alignment horizontal="center"/>
    </xf>
    <xf numFmtId="0" fontId="4" fillId="0" borderId="4" xfId="0" applyFont="1" applyBorder="1" applyAlignment="1" applyProtection="1">
      <alignment horizontal="left"/>
    </xf>
    <xf numFmtId="0" fontId="0" fillId="0" borderId="8" xfId="0" applyBorder="1" applyAlignment="1" applyProtection="1">
      <alignment horizontal="center"/>
    </xf>
    <xf numFmtId="0" fontId="5" fillId="0" borderId="27" xfId="0" applyFont="1" applyBorder="1" applyAlignment="1" applyProtection="1">
      <alignment horizontal="center"/>
    </xf>
    <xf numFmtId="0" fontId="0" fillId="0" borderId="35" xfId="0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</xf>
    <xf numFmtId="0" fontId="5" fillId="0" borderId="17" xfId="0" applyFont="1" applyBorder="1" applyAlignment="1" applyProtection="1">
      <alignment horizontal="center"/>
    </xf>
    <xf numFmtId="0" fontId="29" fillId="0" borderId="17" xfId="0" applyFont="1" applyBorder="1" applyAlignment="1" applyProtection="1">
      <alignment horizontal="right"/>
    </xf>
    <xf numFmtId="0" fontId="5" fillId="0" borderId="28" xfId="0" applyFont="1" applyFill="1" applyBorder="1" applyProtection="1"/>
    <xf numFmtId="0" fontId="5" fillId="0" borderId="22" xfId="0" applyFont="1" applyFill="1" applyBorder="1" applyProtection="1"/>
    <xf numFmtId="0" fontId="5" fillId="0" borderId="17" xfId="0" applyFont="1" applyFill="1" applyBorder="1" applyProtection="1"/>
    <xf numFmtId="0" fontId="5" fillId="0" borderId="17" xfId="0" applyFont="1" applyFill="1" applyBorder="1" applyAlignment="1" applyProtection="1">
      <alignment horizontal="center"/>
    </xf>
    <xf numFmtId="0" fontId="28" fillId="0" borderId="22" xfId="0" applyFont="1" applyFill="1" applyBorder="1" applyAlignment="1" applyProtection="1">
      <alignment horizontal="center"/>
    </xf>
    <xf numFmtId="0" fontId="28" fillId="0" borderId="22" xfId="0" applyFont="1" applyFill="1" applyBorder="1" applyProtection="1"/>
    <xf numFmtId="0" fontId="28" fillId="0" borderId="2" xfId="0" applyFont="1" applyFill="1" applyBorder="1" applyAlignment="1" applyProtection="1">
      <alignment horizontal="center"/>
    </xf>
    <xf numFmtId="0" fontId="3" fillId="0" borderId="8" xfId="0" applyFont="1" applyFill="1" applyBorder="1" applyAlignment="1" applyProtection="1">
      <alignment horizontal="center"/>
    </xf>
    <xf numFmtId="0" fontId="26" fillId="0" borderId="0" xfId="0" applyFont="1" applyBorder="1" applyAlignment="1" applyProtection="1">
      <alignment horizontal="left"/>
    </xf>
    <xf numFmtId="0" fontId="3" fillId="0" borderId="17" xfId="0" applyFont="1" applyBorder="1" applyAlignment="1" applyProtection="1">
      <alignment horizontal="center"/>
    </xf>
    <xf numFmtId="0" fontId="0" fillId="0" borderId="17" xfId="0" applyBorder="1" applyProtection="1">
      <protection locked="0"/>
    </xf>
    <xf numFmtId="0" fontId="5" fillId="0" borderId="22" xfId="0" applyFon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5" fillId="0" borderId="43" xfId="0" applyFont="1" applyBorder="1"/>
    <xf numFmtId="0" fontId="5" fillId="0" borderId="44" xfId="0" applyFont="1" applyBorder="1" applyProtection="1"/>
    <xf numFmtId="0" fontId="5" fillId="2" borderId="46" xfId="0" applyFont="1" applyFill="1" applyBorder="1" applyAlignment="1" applyProtection="1">
      <alignment horizontal="center"/>
      <protection locked="0"/>
    </xf>
    <xf numFmtId="0" fontId="5" fillId="2" borderId="34" xfId="0" applyFont="1" applyFill="1" applyBorder="1" applyAlignment="1" applyProtection="1">
      <alignment horizontal="center"/>
      <protection locked="0"/>
    </xf>
    <xf numFmtId="0" fontId="0" fillId="0" borderId="0" xfId="0" applyFill="1" applyProtection="1"/>
    <xf numFmtId="0" fontId="0" fillId="0" borderId="0" xfId="0" applyFill="1"/>
    <xf numFmtId="0" fontId="0" fillId="0" borderId="0" xfId="0" applyFill="1" applyBorder="1" applyProtection="1"/>
    <xf numFmtId="0" fontId="3" fillId="6" borderId="0" xfId="0" applyFont="1" applyFill="1" applyBorder="1" applyProtection="1"/>
    <xf numFmtId="0" fontId="0" fillId="0" borderId="0" xfId="0" applyFill="1" applyAlignment="1">
      <alignment horizontal="right"/>
    </xf>
    <xf numFmtId="0" fontId="3" fillId="7" borderId="0" xfId="0" applyNumberFormat="1" applyFont="1" applyFill="1" applyBorder="1" applyAlignment="1" applyProtection="1">
      <alignment horizontal="right"/>
      <protection locked="0"/>
    </xf>
    <xf numFmtId="49" fontId="0" fillId="7" borderId="0" xfId="0" applyNumberFormat="1" applyFill="1" applyBorder="1" applyAlignment="1" applyProtection="1">
      <alignment horizontal="right"/>
      <protection locked="0"/>
    </xf>
    <xf numFmtId="0" fontId="0" fillId="7" borderId="0" xfId="0" applyFill="1" applyBorder="1" applyAlignment="1" applyProtection="1">
      <alignment horizontal="right"/>
      <protection locked="0"/>
    </xf>
    <xf numFmtId="0" fontId="3" fillId="7" borderId="0" xfId="0" applyFont="1" applyFill="1" applyBorder="1" applyAlignment="1" applyProtection="1">
      <alignment horizontal="right"/>
      <protection locked="0"/>
    </xf>
    <xf numFmtId="2" fontId="0" fillId="7" borderId="0" xfId="0" applyNumberFormat="1" applyFill="1" applyBorder="1" applyAlignment="1" applyProtection="1">
      <alignment horizontal="right"/>
      <protection locked="0"/>
    </xf>
    <xf numFmtId="2" fontId="5" fillId="7" borderId="0" xfId="0" applyNumberFormat="1" applyFont="1" applyFill="1" applyBorder="1" applyAlignment="1" applyProtection="1">
      <alignment horizontal="right"/>
      <protection locked="0"/>
    </xf>
    <xf numFmtId="165" fontId="0" fillId="7" borderId="0" xfId="0" applyNumberFormat="1" applyFill="1" applyBorder="1" applyAlignment="1" applyProtection="1">
      <alignment horizontal="right"/>
    </xf>
    <xf numFmtId="2" fontId="39" fillId="7" borderId="0" xfId="0" applyNumberFormat="1" applyFont="1" applyFill="1" applyBorder="1" applyAlignment="1" applyProtection="1">
      <alignment horizontal="right"/>
      <protection locked="0"/>
    </xf>
    <xf numFmtId="165" fontId="0" fillId="7" borderId="0" xfId="0" applyNumberFormat="1" applyFill="1" applyBorder="1" applyAlignment="1" applyProtection="1">
      <alignment horizontal="right"/>
      <protection locked="0"/>
    </xf>
    <xf numFmtId="165" fontId="5" fillId="7" borderId="0" xfId="0" applyNumberFormat="1" applyFont="1" applyFill="1" applyBorder="1" applyAlignment="1" applyProtection="1">
      <alignment horizontal="right"/>
      <protection locked="0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49" fontId="3" fillId="7" borderId="0" xfId="0" applyNumberFormat="1" applyFont="1" applyFill="1" applyBorder="1" applyAlignment="1" applyProtection="1">
      <alignment horizontal="right"/>
      <protection locked="0"/>
    </xf>
    <xf numFmtId="1" fontId="1" fillId="0" borderId="22" xfId="2" applyNumberFormat="1" applyFont="1" applyBorder="1" applyAlignment="1" applyProtection="1">
      <alignment horizontal="center"/>
    </xf>
    <xf numFmtId="165" fontId="0" fillId="2" borderId="2" xfId="0" applyNumberFormat="1" applyFill="1" applyBorder="1" applyAlignment="1" applyProtection="1">
      <alignment horizontal="center"/>
      <protection locked="0"/>
    </xf>
    <xf numFmtId="165" fontId="0" fillId="2" borderId="5" xfId="0" applyNumberFormat="1" applyFill="1" applyBorder="1" applyAlignment="1" applyProtection="1">
      <alignment horizontal="center"/>
      <protection locked="0"/>
    </xf>
    <xf numFmtId="0" fontId="3" fillId="2" borderId="0" xfId="0" applyNumberFormat="1" applyFont="1" applyFill="1" applyBorder="1" applyProtection="1">
      <protection locked="0"/>
    </xf>
    <xf numFmtId="49" fontId="3" fillId="2" borderId="10" xfId="0" applyNumberFormat="1" applyFont="1" applyFill="1" applyBorder="1" applyAlignment="1" applyProtection="1">
      <alignment horizontal="center"/>
      <protection locked="0"/>
    </xf>
    <xf numFmtId="2" fontId="5" fillId="2" borderId="0" xfId="0" applyNumberFormat="1" applyFont="1" applyFill="1" applyBorder="1" applyAlignment="1" applyProtection="1">
      <alignment horizontal="center"/>
      <protection locked="0"/>
    </xf>
    <xf numFmtId="2" fontId="0" fillId="2" borderId="0" xfId="0" applyNumberFormat="1" applyFill="1" applyBorder="1" applyAlignment="1" applyProtection="1">
      <alignment horizontal="center"/>
      <protection locked="0"/>
    </xf>
    <xf numFmtId="2" fontId="0" fillId="2" borderId="11" xfId="0" applyNumberFormat="1" applyFill="1" applyBorder="1" applyAlignment="1" applyProtection="1">
      <alignment horizontal="center"/>
      <protection locked="0"/>
    </xf>
    <xf numFmtId="0" fontId="3" fillId="2" borderId="0" xfId="0" applyNumberFormat="1" applyFont="1" applyFill="1" applyBorder="1" applyAlignment="1" applyProtection="1">
      <alignment horizontal="center"/>
      <protection locked="0"/>
    </xf>
    <xf numFmtId="10" fontId="5" fillId="2" borderId="1" xfId="0" applyNumberFormat="1" applyFont="1" applyFill="1" applyBorder="1" applyAlignment="1" applyProtection="1">
      <alignment horizontal="center"/>
      <protection locked="0"/>
    </xf>
    <xf numFmtId="2" fontId="5" fillId="2" borderId="2" xfId="0" applyNumberFormat="1" applyFont="1" applyFill="1" applyBorder="1" applyAlignment="1" applyProtection="1">
      <alignment horizontal="center"/>
      <protection locked="0"/>
    </xf>
    <xf numFmtId="2" fontId="5" fillId="2" borderId="5" xfId="0" applyNumberFormat="1" applyFont="1" applyFill="1" applyBorder="1" applyAlignment="1" applyProtection="1">
      <alignment horizontal="center"/>
      <protection locked="0"/>
    </xf>
    <xf numFmtId="165" fontId="5" fillId="2" borderId="26" xfId="0" applyNumberFormat="1" applyFont="1" applyFill="1" applyBorder="1" applyAlignment="1" applyProtection="1">
      <alignment horizontal="center"/>
      <protection locked="0"/>
    </xf>
    <xf numFmtId="165" fontId="0" fillId="2" borderId="3" xfId="0" applyNumberForma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Alignment="1" applyProtection="1">
      <alignment horizontal="center"/>
      <protection locked="0"/>
    </xf>
    <xf numFmtId="2" fontId="4" fillId="2" borderId="2" xfId="0" applyNumberFormat="1" applyFont="1" applyFill="1" applyBorder="1" applyAlignment="1" applyProtection="1">
      <alignment horizontal="center"/>
      <protection locked="0"/>
    </xf>
    <xf numFmtId="165" fontId="5" fillId="2" borderId="1" xfId="0" applyNumberFormat="1" applyFont="1" applyFill="1" applyBorder="1" applyAlignment="1" applyProtection="1">
      <alignment horizontal="center"/>
      <protection locked="0"/>
    </xf>
    <xf numFmtId="165" fontId="5" fillId="2" borderId="45" xfId="0" applyNumberFormat="1" applyFont="1" applyFill="1" applyBorder="1" applyAlignment="1" applyProtection="1">
      <alignment horizontal="center"/>
      <protection locked="0"/>
    </xf>
    <xf numFmtId="165" fontId="5" fillId="2" borderId="33" xfId="0" applyNumberFormat="1" applyFont="1" applyFill="1" applyBorder="1" applyAlignment="1" applyProtection="1">
      <alignment horizontal="center"/>
      <protection locked="0"/>
    </xf>
    <xf numFmtId="2" fontId="5" fillId="2" borderId="46" xfId="0" applyNumberFormat="1" applyFont="1" applyFill="1" applyBorder="1" applyAlignment="1" applyProtection="1">
      <alignment horizontal="center"/>
      <protection locked="0"/>
    </xf>
    <xf numFmtId="2" fontId="5" fillId="2" borderId="34" xfId="0" applyNumberFormat="1" applyFont="1" applyFill="1" applyBorder="1" applyAlignment="1" applyProtection="1">
      <alignment horizontal="center"/>
      <protection locked="0"/>
    </xf>
    <xf numFmtId="2" fontId="0" fillId="2" borderId="5" xfId="0" applyNumberFormat="1" applyFill="1" applyBorder="1" applyAlignment="1" applyProtection="1">
      <alignment horizontal="center"/>
      <protection locked="0"/>
    </xf>
    <xf numFmtId="165" fontId="5" fillId="2" borderId="2" xfId="0" applyNumberFormat="1" applyFont="1" applyFill="1" applyBorder="1" applyAlignment="1" applyProtection="1">
      <alignment horizontal="center"/>
      <protection locked="0"/>
    </xf>
    <xf numFmtId="2" fontId="5" fillId="2" borderId="4" xfId="0" applyNumberFormat="1" applyFont="1" applyFill="1" applyBorder="1" applyAlignment="1" applyProtection="1">
      <alignment horizontal="center"/>
      <protection locked="0"/>
    </xf>
    <xf numFmtId="165" fontId="4" fillId="2" borderId="2" xfId="0" applyNumberFormat="1" applyFont="1" applyFill="1" applyBorder="1" applyAlignment="1" applyProtection="1">
      <alignment horizontal="center"/>
      <protection locked="0"/>
    </xf>
    <xf numFmtId="165" fontId="5" fillId="2" borderId="4" xfId="0" applyNumberFormat="1" applyFont="1" applyFill="1" applyBorder="1" applyAlignment="1" applyProtection="1">
      <alignment horizontal="center"/>
      <protection locked="0"/>
    </xf>
    <xf numFmtId="2" fontId="0" fillId="2" borderId="3" xfId="0" applyNumberFormat="1" applyFill="1" applyBorder="1" applyAlignment="1" applyProtection="1">
      <alignment horizontal="center"/>
      <protection locked="0"/>
    </xf>
    <xf numFmtId="0" fontId="0" fillId="0" borderId="14" xfId="0" applyNumberFormat="1" applyBorder="1" applyProtection="1"/>
    <xf numFmtId="1" fontId="3" fillId="2" borderId="0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</xf>
    <xf numFmtId="0" fontId="3" fillId="0" borderId="21" xfId="0" applyFont="1" applyBorder="1" applyAlignment="1" applyProtection="1">
      <alignment horizontal="center"/>
    </xf>
    <xf numFmtId="0" fontId="3" fillId="0" borderId="11" xfId="0" applyFont="1" applyBorder="1" applyAlignment="1" applyProtection="1">
      <alignment horizontal="center"/>
    </xf>
    <xf numFmtId="0" fontId="3" fillId="0" borderId="24" xfId="0" applyFont="1" applyBorder="1" applyAlignment="1" applyProtection="1">
      <alignment horizontal="center"/>
    </xf>
    <xf numFmtId="0" fontId="5" fillId="0" borderId="0" xfId="0" applyFont="1" applyBorder="1" applyAlignment="1" applyProtection="1"/>
    <xf numFmtId="0" fontId="5" fillId="0" borderId="0" xfId="0" applyFont="1" applyAlignment="1" applyProtection="1"/>
  </cellXfs>
  <cellStyles count="5">
    <cellStyle name="Normal" xfId="0" builtinId="0"/>
    <cellStyle name="Normal 2" xfId="1" xr:uid="{00000000-0005-0000-0000-000001000000}"/>
    <cellStyle name="Percent" xfId="2" builtinId="5"/>
    <cellStyle name="Percent 2" xfId="3" xr:uid="{00000000-0005-0000-0000-000003000000}"/>
    <cellStyle name="Percent 3" xfId="4" xr:uid="{00000000-0005-0000-0000-00000400000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ysClr val="windowText" lastClr="000000"/>
                </a:solidFill>
              </a:rPr>
              <a:t>Ratio of 50% Isodose Volume to the PTV Volume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'Calculations 48Gy4F_ or_ 60Gy5F'!$I$8</c:f>
              <c:strCache>
                <c:ptCount val="1"/>
                <c:pt idx="0">
                  <c:v>None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58113713910761156"/>
                  <c:y val="1.7269976669582968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'Calculations 48Gy4F_ or_ 60Gy5F'!$D$9:$D$19</c:f>
              <c:numCache>
                <c:formatCode>0.0</c:formatCode>
                <c:ptCount val="11"/>
                <c:pt idx="0">
                  <c:v>1.8</c:v>
                </c:pt>
                <c:pt idx="1">
                  <c:v>3.8</c:v>
                </c:pt>
                <c:pt idx="2">
                  <c:v>7.4</c:v>
                </c:pt>
                <c:pt idx="3">
                  <c:v>13.2</c:v>
                </c:pt>
                <c:pt idx="4">
                  <c:v>22</c:v>
                </c:pt>
                <c:pt idx="5">
                  <c:v>34</c:v>
                </c:pt>
                <c:pt idx="6">
                  <c:v>50</c:v>
                </c:pt>
                <c:pt idx="7">
                  <c:v>70</c:v>
                </c:pt>
                <c:pt idx="8">
                  <c:v>95</c:v>
                </c:pt>
                <c:pt idx="9">
                  <c:v>126</c:v>
                </c:pt>
                <c:pt idx="10">
                  <c:v>163</c:v>
                </c:pt>
              </c:numCache>
            </c:numRef>
          </c:xVal>
          <c:yVal>
            <c:numRef>
              <c:f>'Calculations 48Gy4F_ or_ 60Gy5F'!$I$9:$I$19</c:f>
              <c:numCache>
                <c:formatCode>0.00</c:formatCode>
                <c:ptCount val="11"/>
                <c:pt idx="0">
                  <c:v>5.9</c:v>
                </c:pt>
                <c:pt idx="1">
                  <c:v>5.5</c:v>
                </c:pt>
                <c:pt idx="2">
                  <c:v>5.0999999999999996</c:v>
                </c:pt>
                <c:pt idx="3">
                  <c:v>4.7</c:v>
                </c:pt>
                <c:pt idx="4">
                  <c:v>4.5</c:v>
                </c:pt>
                <c:pt idx="5">
                  <c:v>4.3</c:v>
                </c:pt>
                <c:pt idx="6">
                  <c:v>4</c:v>
                </c:pt>
                <c:pt idx="7">
                  <c:v>3.5</c:v>
                </c:pt>
                <c:pt idx="8">
                  <c:v>3.3</c:v>
                </c:pt>
                <c:pt idx="9">
                  <c:v>3.1</c:v>
                </c:pt>
                <c:pt idx="10">
                  <c:v>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C1-4AFB-9F38-A4481F53D906}"/>
            </c:ext>
          </c:extLst>
        </c:ser>
        <c:ser>
          <c:idx val="1"/>
          <c:order val="1"/>
          <c:tx>
            <c:strRef>
              <c:f>'Calculations 48Gy4F_ or_ 60Gy5F'!$J$8</c:f>
              <c:strCache>
                <c:ptCount val="1"/>
                <c:pt idx="0">
                  <c:v>Minor Deviation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30613713910761153"/>
                  <c:y val="-0.1684758675998833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'Calculations 48Gy4F_ or_ 60Gy5F'!$D$9:$D$19</c:f>
              <c:numCache>
                <c:formatCode>0.0</c:formatCode>
                <c:ptCount val="11"/>
                <c:pt idx="0">
                  <c:v>1.8</c:v>
                </c:pt>
                <c:pt idx="1">
                  <c:v>3.8</c:v>
                </c:pt>
                <c:pt idx="2">
                  <c:v>7.4</c:v>
                </c:pt>
                <c:pt idx="3">
                  <c:v>13.2</c:v>
                </c:pt>
                <c:pt idx="4">
                  <c:v>22</c:v>
                </c:pt>
                <c:pt idx="5">
                  <c:v>34</c:v>
                </c:pt>
                <c:pt idx="6">
                  <c:v>50</c:v>
                </c:pt>
                <c:pt idx="7">
                  <c:v>70</c:v>
                </c:pt>
                <c:pt idx="8">
                  <c:v>95</c:v>
                </c:pt>
                <c:pt idx="9">
                  <c:v>126</c:v>
                </c:pt>
                <c:pt idx="10">
                  <c:v>163</c:v>
                </c:pt>
              </c:numCache>
            </c:numRef>
          </c:xVal>
          <c:yVal>
            <c:numRef>
              <c:f>'Calculations 48Gy4F_ or_ 60Gy5F'!$J$9:$J$19</c:f>
              <c:numCache>
                <c:formatCode>0.00</c:formatCode>
                <c:ptCount val="11"/>
                <c:pt idx="0">
                  <c:v>7.5</c:v>
                </c:pt>
                <c:pt idx="1">
                  <c:v>6.5</c:v>
                </c:pt>
                <c:pt idx="2">
                  <c:v>6</c:v>
                </c:pt>
                <c:pt idx="3">
                  <c:v>5.8</c:v>
                </c:pt>
                <c:pt idx="4">
                  <c:v>5.5</c:v>
                </c:pt>
                <c:pt idx="5">
                  <c:v>5.3</c:v>
                </c:pt>
                <c:pt idx="6">
                  <c:v>5</c:v>
                </c:pt>
                <c:pt idx="7">
                  <c:v>4.8</c:v>
                </c:pt>
                <c:pt idx="8">
                  <c:v>4.4000000000000004</c:v>
                </c:pt>
                <c:pt idx="9">
                  <c:v>4</c:v>
                </c:pt>
                <c:pt idx="10">
                  <c:v>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C1-4AFB-9F38-A4481F53D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97920"/>
        <c:axId val="207083712"/>
      </c:scatterChart>
      <c:valAx>
        <c:axId val="175897920"/>
        <c:scaling>
          <c:orientation val="minMax"/>
          <c:max val="1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PTV Volume (cc)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083712"/>
        <c:crosses val="autoZero"/>
        <c:crossBetween val="midCat"/>
      </c:valAx>
      <c:valAx>
        <c:axId val="207083712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50% Isodose Volume/PTV Volume</a:t>
                </a:r>
              </a:p>
            </c:rich>
          </c:tx>
          <c:layout>
            <c:manualLayout>
              <c:xMode val="edge"/>
              <c:yMode val="edge"/>
              <c:x val="0"/>
              <c:y val="0.2262626200851107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9792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0854596166932127"/>
          <c:y val="0.14313503045129067"/>
          <c:w val="0.27880416657319551"/>
          <c:h val="0.21254073337920137"/>
        </c:manualLayout>
      </c:layout>
      <c:overlay val="1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39</xdr:row>
      <xdr:rowOff>47625</xdr:rowOff>
    </xdr:from>
    <xdr:to>
      <xdr:col>11</xdr:col>
      <xdr:colOff>495300</xdr:colOff>
      <xdr:row>69</xdr:row>
      <xdr:rowOff>95250</xdr:rowOff>
    </xdr:to>
    <xdr:graphicFrame macro="">
      <xdr:nvGraphicFramePr>
        <xdr:cNvPr id="12316" name="Chart 2">
          <a:extLst>
            <a:ext uri="{FF2B5EF4-FFF2-40B4-BE49-F238E27FC236}">
              <a16:creationId xmlns:a16="http://schemas.microsoft.com/office/drawing/2014/main" id="{00000000-0008-0000-0300-00001C3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114300</xdr:rowOff>
    </xdr:from>
    <xdr:to>
      <xdr:col>13</xdr:col>
      <xdr:colOff>95250</xdr:colOff>
      <xdr:row>29</xdr:row>
      <xdr:rowOff>38100</xdr:rowOff>
    </xdr:to>
    <xdr:pic>
      <xdr:nvPicPr>
        <xdr:cNvPr id="7341" name="Picture 1">
          <a:extLst>
            <a:ext uri="{FF2B5EF4-FFF2-40B4-BE49-F238E27FC236}">
              <a16:creationId xmlns:a16="http://schemas.microsoft.com/office/drawing/2014/main" id="{00000000-0008-0000-0600-0000A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609600"/>
          <a:ext cx="6619875" cy="437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>
    <pageSetUpPr fitToPage="1"/>
  </sheetPr>
  <dimension ref="A1:P63"/>
  <sheetViews>
    <sheetView zoomScaleNormal="100" workbookViewId="0">
      <selection activeCell="R25" sqref="R25"/>
    </sheetView>
  </sheetViews>
  <sheetFormatPr defaultRowHeight="12.75" x14ac:dyDescent="0.2"/>
  <cols>
    <col min="1" max="1" width="6.85546875" customWidth="1"/>
    <col min="2" max="2" width="7.5703125" customWidth="1"/>
    <col min="3" max="3" width="10" customWidth="1"/>
    <col min="4" max="4" width="13" customWidth="1"/>
    <col min="5" max="5" width="3.85546875" customWidth="1"/>
    <col min="6" max="6" width="8" style="1" customWidth="1"/>
    <col min="7" max="7" width="18.85546875" style="1" customWidth="1"/>
    <col min="8" max="8" width="19.7109375" style="1" customWidth="1"/>
    <col min="9" max="9" width="6.140625" hidden="1" customWidth="1"/>
    <col min="10" max="10" width="1" hidden="1" customWidth="1"/>
    <col min="11" max="11" width="14.42578125" style="1" customWidth="1"/>
    <col min="12" max="12" width="18.140625" style="1" customWidth="1"/>
    <col min="13" max="13" width="14" style="2" customWidth="1"/>
    <col min="15" max="15" width="38.85546875" style="313" bestFit="1" customWidth="1"/>
    <col min="16" max="16" width="13.5703125" style="314" bestFit="1" customWidth="1"/>
  </cols>
  <sheetData>
    <row r="1" spans="2:16" ht="13.5" thickBot="1" x14ac:dyDescent="0.25">
      <c r="B1" s="206" t="s">
        <v>156</v>
      </c>
      <c r="C1" s="207"/>
      <c r="D1" s="206"/>
      <c r="E1" s="207"/>
      <c r="F1" s="208"/>
      <c r="G1" s="208"/>
      <c r="H1" s="209" t="s">
        <v>155</v>
      </c>
      <c r="I1" s="206"/>
      <c r="J1" s="206"/>
      <c r="K1" s="210"/>
      <c r="L1" s="210"/>
      <c r="M1" s="87"/>
      <c r="O1" s="300"/>
    </row>
    <row r="2" spans="2:16" x14ac:dyDescent="0.2">
      <c r="B2" s="82"/>
      <c r="C2" s="83"/>
      <c r="D2" s="83"/>
      <c r="E2" s="83"/>
      <c r="F2" s="84"/>
      <c r="G2" s="85" t="s">
        <v>132</v>
      </c>
      <c r="H2" s="84"/>
      <c r="I2" s="83"/>
      <c r="J2" s="83"/>
      <c r="K2" s="84"/>
      <c r="L2" s="86"/>
      <c r="M2" s="87"/>
      <c r="O2" s="300"/>
    </row>
    <row r="3" spans="2:16" ht="13.5" thickBot="1" x14ac:dyDescent="0.25">
      <c r="B3" s="89"/>
      <c r="C3" s="90"/>
      <c r="D3" s="90"/>
      <c r="E3" s="90"/>
      <c r="F3" s="91"/>
      <c r="G3" s="92" t="s">
        <v>36</v>
      </c>
      <c r="H3" s="91"/>
      <c r="I3" s="90"/>
      <c r="J3" s="90"/>
      <c r="K3" s="91"/>
      <c r="L3" s="93"/>
      <c r="M3" s="87"/>
      <c r="O3" s="300"/>
    </row>
    <row r="4" spans="2:16" x14ac:dyDescent="0.2">
      <c r="B4" s="94"/>
      <c r="C4" s="95" t="s">
        <v>0</v>
      </c>
      <c r="D4" s="319" t="s">
        <v>66</v>
      </c>
      <c r="E4" s="96"/>
      <c r="F4" s="95" t="s">
        <v>169</v>
      </c>
      <c r="G4" s="97"/>
      <c r="H4" s="324" t="s">
        <v>66</v>
      </c>
      <c r="I4" s="96"/>
      <c r="J4" s="96"/>
      <c r="K4" s="95" t="s">
        <v>2</v>
      </c>
      <c r="L4" s="17" t="s">
        <v>66</v>
      </c>
      <c r="M4" s="87"/>
      <c r="O4" s="301" t="str">
        <f>C4</f>
        <v>Patient:</v>
      </c>
      <c r="P4" s="306" t="str">
        <f>D4</f>
        <v>??</v>
      </c>
    </row>
    <row r="5" spans="2:16" ht="13.5" thickBot="1" x14ac:dyDescent="0.25">
      <c r="B5" s="94"/>
      <c r="C5" s="95" t="s">
        <v>1</v>
      </c>
      <c r="D5" s="20" t="s">
        <v>66</v>
      </c>
      <c r="E5" s="96"/>
      <c r="F5" s="95" t="s">
        <v>167</v>
      </c>
      <c r="G5" s="97"/>
      <c r="H5" s="344" t="s">
        <v>66</v>
      </c>
      <c r="I5" s="96"/>
      <c r="J5" s="96"/>
      <c r="K5" s="95" t="s">
        <v>3</v>
      </c>
      <c r="L5" s="320" t="s">
        <v>66</v>
      </c>
      <c r="M5" s="87"/>
      <c r="O5" s="301" t="str">
        <f>C5</f>
        <v>CR#:</v>
      </c>
      <c r="P5" s="315" t="str">
        <f>D5</f>
        <v>??</v>
      </c>
    </row>
    <row r="6" spans="2:16" x14ac:dyDescent="0.2">
      <c r="B6" s="99" t="s">
        <v>9</v>
      </c>
      <c r="C6" s="83"/>
      <c r="D6" s="83"/>
      <c r="E6" s="83"/>
      <c r="F6" s="84"/>
      <c r="G6" s="84"/>
      <c r="H6" s="84"/>
      <c r="I6" s="83"/>
      <c r="J6" s="83"/>
      <c r="K6" s="84"/>
      <c r="L6" s="86"/>
      <c r="M6" s="87"/>
      <c r="O6" s="301" t="str">
        <f>K4</f>
        <v>Site:</v>
      </c>
      <c r="P6" s="306" t="str">
        <f>L4</f>
        <v>??</v>
      </c>
    </row>
    <row r="7" spans="2:16" x14ac:dyDescent="0.2">
      <c r="B7" s="94"/>
      <c r="C7" s="96" t="s">
        <v>4</v>
      </c>
      <c r="D7" s="96"/>
      <c r="E7" s="96"/>
      <c r="F7" s="97"/>
      <c r="G7" s="321" t="s">
        <v>66</v>
      </c>
      <c r="H7" s="97"/>
      <c r="I7" s="96"/>
      <c r="J7" s="96"/>
      <c r="K7" s="97"/>
      <c r="L7" s="100"/>
      <c r="M7" s="87"/>
      <c r="O7" s="301" t="str">
        <f>K5</f>
        <v>Plan Name:</v>
      </c>
      <c r="P7" s="306" t="str">
        <f>L5</f>
        <v>??</v>
      </c>
    </row>
    <row r="8" spans="2:16" x14ac:dyDescent="0.2">
      <c r="B8" s="94"/>
      <c r="C8" s="96" t="s">
        <v>5</v>
      </c>
      <c r="D8" s="96"/>
      <c r="E8" s="96"/>
      <c r="F8" s="97"/>
      <c r="G8" s="321" t="s">
        <v>66</v>
      </c>
      <c r="H8" s="97"/>
      <c r="I8" s="96"/>
      <c r="J8" s="96"/>
      <c r="K8" s="97"/>
      <c r="L8" s="100"/>
      <c r="M8" s="87"/>
      <c r="O8" s="301" t="str">
        <f>F4</f>
        <v>Prescription Dose (cGy):</v>
      </c>
      <c r="P8" s="306" t="str">
        <f>H4</f>
        <v>??</v>
      </c>
    </row>
    <row r="9" spans="2:16" x14ac:dyDescent="0.2">
      <c r="B9" s="94"/>
      <c r="C9" s="96" t="s">
        <v>6</v>
      </c>
      <c r="D9" s="96"/>
      <c r="E9" s="96"/>
      <c r="F9" s="97"/>
      <c r="G9" s="321" t="s">
        <v>66</v>
      </c>
      <c r="H9" s="97"/>
      <c r="I9" s="96"/>
      <c r="J9" s="96"/>
      <c r="K9" s="97"/>
      <c r="L9" s="100"/>
      <c r="M9" s="87"/>
      <c r="O9" s="301" t="str">
        <f>F5</f>
        <v>Fractions:</v>
      </c>
      <c r="P9" s="306" t="str">
        <f>H5</f>
        <v>??</v>
      </c>
    </row>
    <row r="10" spans="2:16" ht="13.5" thickBot="1" x14ac:dyDescent="0.25">
      <c r="B10" s="89"/>
      <c r="C10" s="90" t="s">
        <v>7</v>
      </c>
      <c r="D10" s="90"/>
      <c r="E10" s="90"/>
      <c r="F10" s="91"/>
      <c r="G10" s="323" t="s">
        <v>66</v>
      </c>
      <c r="H10" s="91"/>
      <c r="I10" s="90"/>
      <c r="J10" s="90"/>
      <c r="K10" s="91"/>
      <c r="L10" s="93"/>
      <c r="M10" s="87"/>
      <c r="O10" s="301" t="str">
        <f>C7</f>
        <v>GTV Volume (cc)</v>
      </c>
      <c r="P10" s="306" t="str">
        <f>G7</f>
        <v>??</v>
      </c>
    </row>
    <row r="11" spans="2:16" x14ac:dyDescent="0.2">
      <c r="B11" s="99" t="s">
        <v>8</v>
      </c>
      <c r="C11" s="83"/>
      <c r="D11" s="83"/>
      <c r="E11" s="211" t="s">
        <v>42</v>
      </c>
      <c r="F11" s="212"/>
      <c r="G11" s="213"/>
      <c r="H11" s="212"/>
      <c r="I11" s="117" t="s">
        <v>37</v>
      </c>
      <c r="J11" s="83"/>
      <c r="K11" s="214" t="s">
        <v>37</v>
      </c>
      <c r="L11" s="215" t="s">
        <v>37</v>
      </c>
      <c r="M11" s="87"/>
      <c r="O11" s="301" t="str">
        <f>C8</f>
        <v>ITV Volume (cc):</v>
      </c>
      <c r="P11" s="307" t="str">
        <f>G8</f>
        <v>??</v>
      </c>
    </row>
    <row r="12" spans="2:16" x14ac:dyDescent="0.2">
      <c r="B12" s="101"/>
      <c r="C12" s="106"/>
      <c r="D12" s="107"/>
      <c r="E12" s="107"/>
      <c r="F12" s="107"/>
      <c r="G12" s="114" t="s">
        <v>178</v>
      </c>
      <c r="H12" s="109" t="s">
        <v>182</v>
      </c>
      <c r="I12" s="110"/>
      <c r="J12" s="107"/>
      <c r="K12" s="108" t="s">
        <v>19</v>
      </c>
      <c r="L12" s="111" t="s">
        <v>11</v>
      </c>
      <c r="M12" s="112" t="s">
        <v>44</v>
      </c>
      <c r="O12" s="301" t="str">
        <f>C9</f>
        <v>PTV Volume (cc)</v>
      </c>
      <c r="P12" s="308" t="str">
        <f>G9</f>
        <v>??</v>
      </c>
    </row>
    <row r="13" spans="2:16" x14ac:dyDescent="0.2">
      <c r="B13" s="101"/>
      <c r="C13" s="113"/>
      <c r="D13" s="96"/>
      <c r="E13" s="96"/>
      <c r="F13" s="97"/>
      <c r="G13" s="114" t="s">
        <v>179</v>
      </c>
      <c r="H13" s="216"/>
      <c r="I13" s="217"/>
      <c r="J13" s="96"/>
      <c r="K13" s="114" t="s">
        <v>18</v>
      </c>
      <c r="L13" s="100"/>
      <c r="M13" s="87"/>
      <c r="O13" s="301" t="str">
        <f>C10</f>
        <v>Total Lung Volume (cc)</v>
      </c>
      <c r="P13" s="307" t="str">
        <f>G10</f>
        <v>??</v>
      </c>
    </row>
    <row r="14" spans="2:16" x14ac:dyDescent="0.2">
      <c r="B14" s="101"/>
      <c r="C14" s="106" t="s">
        <v>45</v>
      </c>
      <c r="D14" s="107"/>
      <c r="E14" s="107"/>
      <c r="F14" s="115"/>
      <c r="G14" s="201" t="s">
        <v>66</v>
      </c>
      <c r="H14" s="97"/>
      <c r="I14" s="96"/>
      <c r="J14" s="107"/>
      <c r="K14" s="218" t="s">
        <v>161</v>
      </c>
      <c r="L14" s="10" t="str">
        <f>IF(G14="??","??",IF((AND((G14&gt;59.99%),(G14&lt;95.01%))),"Yes", "No"))</f>
        <v>??</v>
      </c>
      <c r="M14" s="140" t="s">
        <v>187</v>
      </c>
      <c r="O14" s="301" t="str">
        <f>C14</f>
        <v>Plan Normalization Value (%)</v>
      </c>
      <c r="P14" s="309" t="str">
        <f>G14</f>
        <v>??</v>
      </c>
    </row>
    <row r="15" spans="2:16" ht="13.5" thickBot="1" x14ac:dyDescent="0.25">
      <c r="B15" s="94"/>
      <c r="C15" s="106"/>
      <c r="D15" s="107"/>
      <c r="E15" s="107"/>
      <c r="F15" s="115"/>
      <c r="G15" s="219"/>
      <c r="H15" s="219"/>
      <c r="I15" s="220"/>
      <c r="J15" s="107"/>
      <c r="K15" s="116"/>
      <c r="L15" s="10"/>
      <c r="M15" s="87"/>
      <c r="O15" s="301"/>
      <c r="P15" s="309"/>
    </row>
    <row r="16" spans="2:16" x14ac:dyDescent="0.2">
      <c r="B16" s="99" t="s">
        <v>30</v>
      </c>
      <c r="C16" s="117"/>
      <c r="D16" s="83"/>
      <c r="E16" s="83"/>
      <c r="F16" s="118"/>
      <c r="G16" s="221"/>
      <c r="H16" s="84"/>
      <c r="I16" s="222"/>
      <c r="J16" s="83"/>
      <c r="K16" s="119"/>
      <c r="L16" s="11"/>
      <c r="M16" s="87"/>
      <c r="O16" s="301" t="str">
        <f>C17</f>
        <v>PTV- Minimum Dose (%)</v>
      </c>
      <c r="P16" s="307" t="str">
        <f>G17</f>
        <v>??</v>
      </c>
    </row>
    <row r="17" spans="2:16" x14ac:dyDescent="0.2">
      <c r="B17" s="94"/>
      <c r="C17" s="106" t="s">
        <v>168</v>
      </c>
      <c r="D17" s="107"/>
      <c r="E17" s="107"/>
      <c r="F17" s="115"/>
      <c r="G17" s="325" t="s">
        <v>66</v>
      </c>
      <c r="H17" s="223"/>
      <c r="I17" s="220"/>
      <c r="J17" s="107"/>
      <c r="K17" s="116" t="s">
        <v>161</v>
      </c>
      <c r="L17" s="10" t="str">
        <f>IF(G17="??","??",IF((AND((G17&gt;=60%),(G17&lt;=95%))),"Yes", "No"))</f>
        <v>??</v>
      </c>
      <c r="M17" s="87"/>
      <c r="O17" s="301" t="str">
        <f>C18</f>
        <v>PTV - V100(%)</v>
      </c>
      <c r="P17" s="307" t="str">
        <f>G18</f>
        <v>??</v>
      </c>
    </row>
    <row r="18" spans="2:16" ht="13.5" thickBot="1" x14ac:dyDescent="0.25">
      <c r="B18" s="94"/>
      <c r="C18" s="113" t="s">
        <v>69</v>
      </c>
      <c r="D18" s="96"/>
      <c r="E18" s="96"/>
      <c r="F18" s="97"/>
      <c r="G18" s="199" t="s">
        <v>66</v>
      </c>
      <c r="H18" s="223"/>
      <c r="I18" s="122"/>
      <c r="J18" s="122"/>
      <c r="K18" s="123">
        <v>0.95</v>
      </c>
      <c r="L18" s="195" t="str">
        <f>IF(G18="??","??",(IF(G18&gt;=95%,"Yes","No")))</f>
        <v>??</v>
      </c>
      <c r="M18" s="88" t="s">
        <v>31</v>
      </c>
      <c r="O18" s="301" t="str">
        <f>C19</f>
        <v>PTV - V90 (%)</v>
      </c>
      <c r="P18" s="307" t="str">
        <f>G19</f>
        <v>??</v>
      </c>
    </row>
    <row r="19" spans="2:16" ht="13.5" thickBot="1" x14ac:dyDescent="0.25">
      <c r="B19" s="89"/>
      <c r="C19" s="124" t="s">
        <v>70</v>
      </c>
      <c r="D19" s="90"/>
      <c r="E19" s="90"/>
      <c r="F19" s="91"/>
      <c r="G19" s="198" t="s">
        <v>66</v>
      </c>
      <c r="H19" s="224"/>
      <c r="I19" s="126"/>
      <c r="J19" s="90"/>
      <c r="K19" s="127">
        <v>0.99</v>
      </c>
      <c r="L19" s="195" t="str">
        <f>IF(G19="??","??",(IF(G19&gt;=99%,"Yes","No")))</f>
        <v>??</v>
      </c>
      <c r="M19" s="88" t="s">
        <v>32</v>
      </c>
      <c r="O19" s="301" t="str">
        <f>CONCATENATE(C21," ",D21)</f>
        <v>Location V105% - PTV (cc) =</v>
      </c>
      <c r="P19" s="310" t="str">
        <f>G21</f>
        <v>??</v>
      </c>
    </row>
    <row r="20" spans="2:16" x14ac:dyDescent="0.2">
      <c r="B20" s="101" t="s">
        <v>39</v>
      </c>
      <c r="C20" s="96"/>
      <c r="D20" s="96"/>
      <c r="E20" s="96"/>
      <c r="F20" s="97"/>
      <c r="G20" s="128"/>
      <c r="H20" s="97"/>
      <c r="I20" s="96"/>
      <c r="J20" s="96"/>
      <c r="K20" s="129"/>
      <c r="L20" s="14"/>
      <c r="M20" s="87"/>
      <c r="O20" s="301" t="str">
        <f>CONCATENATE(C22," ",D22)</f>
        <v>Volume V100% (cc) =</v>
      </c>
      <c r="P20" s="310" t="str">
        <f>G22</f>
        <v>??</v>
      </c>
    </row>
    <row r="21" spans="2:16" ht="15.75" x14ac:dyDescent="0.3">
      <c r="B21" s="101" t="s">
        <v>37</v>
      </c>
      <c r="C21" s="130" t="s">
        <v>40</v>
      </c>
      <c r="D21" s="122" t="s">
        <v>112</v>
      </c>
      <c r="E21" s="122"/>
      <c r="F21" s="131"/>
      <c r="G21" s="326" t="s">
        <v>66</v>
      </c>
      <c r="H21" s="225" t="str">
        <f>IFERROR(G21/G9,"??")</f>
        <v>??</v>
      </c>
      <c r="I21" s="122"/>
      <c r="J21" s="122"/>
      <c r="K21" s="16" t="s">
        <v>10</v>
      </c>
      <c r="L21" s="12" t="str">
        <f>IF(G21="??","??",IF(H21&lt;15%,"Yes","No"))</f>
        <v>??</v>
      </c>
      <c r="M21" s="140" t="s">
        <v>184</v>
      </c>
      <c r="O21" s="301" t="str">
        <f>CONCATENATE(C24," ",D24)</f>
        <v>Location D³2cm (%) =</v>
      </c>
      <c r="P21" s="311" t="str">
        <f>G24</f>
        <v>??</v>
      </c>
    </row>
    <row r="22" spans="2:16" ht="16.5" thickBot="1" x14ac:dyDescent="0.35">
      <c r="B22" s="132" t="s">
        <v>37</v>
      </c>
      <c r="C22" s="133" t="s">
        <v>43</v>
      </c>
      <c r="D22" s="90" t="s">
        <v>111</v>
      </c>
      <c r="E22" s="90"/>
      <c r="F22" s="91"/>
      <c r="G22" s="337" t="s">
        <v>66</v>
      </c>
      <c r="H22" s="172" t="str">
        <f>IFERROR('Calculations 48Gy4F_ or_ 60Gy5F'!J31,"??")</f>
        <v>??</v>
      </c>
      <c r="I22" s="134" t="s">
        <v>37</v>
      </c>
      <c r="J22" s="90"/>
      <c r="K22" s="135" t="s">
        <v>12</v>
      </c>
      <c r="L22" s="13" t="str">
        <f>'Calculations 48Gy4F_ or_ 60Gy5F'!K31</f>
        <v>??</v>
      </c>
      <c r="M22" s="87" t="s">
        <v>52</v>
      </c>
      <c r="O22" s="301" t="str">
        <f>C25</f>
        <v>Volume</v>
      </c>
      <c r="P22" s="311" t="str">
        <f>G25</f>
        <v>??</v>
      </c>
    </row>
    <row r="23" spans="2:16" x14ac:dyDescent="0.2">
      <c r="B23" s="99" t="s">
        <v>38</v>
      </c>
      <c r="C23" s="83"/>
      <c r="D23" s="83"/>
      <c r="E23" s="83"/>
      <c r="F23" s="84"/>
      <c r="G23" s="119"/>
      <c r="H23" s="84"/>
      <c r="I23" s="83"/>
      <c r="J23" s="83"/>
      <c r="K23" s="119"/>
      <c r="L23" s="11"/>
      <c r="M23" s="87"/>
      <c r="O23" s="301" t="str">
        <f>C29</f>
        <v>Mean Dose (contralateral lung)</v>
      </c>
      <c r="P23" s="311" t="str">
        <f>G29</f>
        <v>??</v>
      </c>
    </row>
    <row r="24" spans="2:16" ht="15.75" x14ac:dyDescent="0.3">
      <c r="B24" s="101" t="s">
        <v>37</v>
      </c>
      <c r="C24" s="130" t="s">
        <v>40</v>
      </c>
      <c r="D24" s="226" t="s">
        <v>181</v>
      </c>
      <c r="E24" s="122"/>
      <c r="F24" s="131"/>
      <c r="G24" s="338" t="s">
        <v>66</v>
      </c>
      <c r="H24" s="227"/>
      <c r="I24" s="139"/>
      <c r="J24" s="122"/>
      <c r="K24" s="200" t="str">
        <f ca="1">IFERROR('Calculations 48Gy4F_ or_ 60Gy5F'!L27/100,"")</f>
        <v/>
      </c>
      <c r="L24" s="12" t="str">
        <f>'Calculations 48Gy4F_ or_ 60Gy5F'!K33</f>
        <v>??</v>
      </c>
      <c r="M24" s="140" t="s">
        <v>185</v>
      </c>
      <c r="O24" s="301" t="str">
        <f>C30</f>
        <v>Mean Dose (Total lung)</v>
      </c>
      <c r="P24" s="311" t="str">
        <f>G30</f>
        <v>??</v>
      </c>
    </row>
    <row r="25" spans="2:16" ht="16.5" thickBot="1" x14ac:dyDescent="0.35">
      <c r="B25" s="132" t="s">
        <v>37</v>
      </c>
      <c r="C25" s="133" t="s">
        <v>43</v>
      </c>
      <c r="D25" s="228" t="s">
        <v>180</v>
      </c>
      <c r="E25" s="90"/>
      <c r="F25" s="229"/>
      <c r="G25" s="327" t="s">
        <v>66</v>
      </c>
      <c r="H25" s="141" t="str">
        <f>IFERROR('Calculations 48Gy4F_ or_ 60Gy5F'!J32,"??")</f>
        <v>??</v>
      </c>
      <c r="I25" s="142" t="s">
        <v>37</v>
      </c>
      <c r="J25" s="90"/>
      <c r="K25" s="162" t="str">
        <f ca="1">IFERROR('Calculations 48Gy4F_ or_ 60Gy5F'!I27,"")</f>
        <v/>
      </c>
      <c r="L25" s="81" t="str">
        <f>IFERROR('Calculations 48Gy4F_ or_ 60Gy5F'!K32,"??")</f>
        <v>??</v>
      </c>
      <c r="M25" s="140" t="s">
        <v>186</v>
      </c>
      <c r="O25" s="301" t="str">
        <f>C31</f>
        <v>V20 (Total Lung) in %</v>
      </c>
      <c r="P25" s="311" t="str">
        <f>G31</f>
        <v>??</v>
      </c>
    </row>
    <row r="26" spans="2:16" x14ac:dyDescent="0.2">
      <c r="B26" s="101" t="s">
        <v>22</v>
      </c>
      <c r="C26" s="96"/>
      <c r="D26" s="96"/>
      <c r="E26" s="96"/>
      <c r="F26" s="97"/>
      <c r="G26" s="114" t="s">
        <v>176</v>
      </c>
      <c r="H26" s="104" t="s">
        <v>182</v>
      </c>
      <c r="I26" s="143"/>
      <c r="J26" s="143"/>
      <c r="K26" s="144" t="s">
        <v>34</v>
      </c>
      <c r="L26" s="145"/>
      <c r="M26" s="87"/>
      <c r="O26" s="301" t="str">
        <f>CONCATENATE(C32," ",F32)</f>
        <v xml:space="preserve">Lung-Basic Function </v>
      </c>
      <c r="P26" s="311" t="str">
        <f>G32</f>
        <v>??</v>
      </c>
    </row>
    <row r="27" spans="2:16" ht="13.5" thickBot="1" x14ac:dyDescent="0.25">
      <c r="B27" s="101" t="s">
        <v>37</v>
      </c>
      <c r="C27" s="96"/>
      <c r="D27" s="96"/>
      <c r="E27" s="96"/>
      <c r="F27" s="97"/>
      <c r="G27" s="114" t="s">
        <v>177</v>
      </c>
      <c r="H27" s="104"/>
      <c r="I27" s="143"/>
      <c r="J27" s="143"/>
      <c r="K27" s="202" t="s">
        <v>174</v>
      </c>
      <c r="L27" s="145"/>
      <c r="M27" s="87"/>
      <c r="O27" s="301" t="str">
        <f>CONCATENATE(C33," ",F33)</f>
        <v xml:space="preserve">Lung-Pneumonitis </v>
      </c>
      <c r="P27" s="311" t="str">
        <f>G33</f>
        <v>??</v>
      </c>
    </row>
    <row r="28" spans="2:16" x14ac:dyDescent="0.2">
      <c r="B28" s="101" t="s">
        <v>37</v>
      </c>
      <c r="C28" s="99" t="s">
        <v>24</v>
      </c>
      <c r="D28" s="83"/>
      <c r="E28" s="83"/>
      <c r="F28" s="84"/>
      <c r="G28" s="119"/>
      <c r="H28" s="84"/>
      <c r="I28" s="83"/>
      <c r="J28" s="83"/>
      <c r="K28" s="119"/>
      <c r="L28" s="11"/>
      <c r="M28" s="87"/>
      <c r="O28" s="301" t="str">
        <f>CONCATENATE(C35," ",F35)</f>
        <v>Aorta  (max point dose)</v>
      </c>
      <c r="P28" s="311" t="str">
        <f t="shared" ref="P28:P45" si="0">G35</f>
        <v>??</v>
      </c>
    </row>
    <row r="29" spans="2:16" x14ac:dyDescent="0.2">
      <c r="B29" s="94"/>
      <c r="C29" s="94" t="s">
        <v>25</v>
      </c>
      <c r="D29" s="96"/>
      <c r="E29" s="96"/>
      <c r="F29" s="97"/>
      <c r="G29" s="317" t="s">
        <v>66</v>
      </c>
      <c r="H29" s="131"/>
      <c r="I29" s="122"/>
      <c r="J29" s="122"/>
      <c r="K29" s="16"/>
      <c r="L29" s="12" t="s">
        <v>66</v>
      </c>
      <c r="M29" s="87"/>
      <c r="O29" s="301" t="str">
        <f>CONCATENATE(C35," ",F36)</f>
        <v>Aorta  V40Gy=</v>
      </c>
      <c r="P29" s="311" t="str">
        <f t="shared" si="0"/>
        <v>??</v>
      </c>
    </row>
    <row r="30" spans="2:16" x14ac:dyDescent="0.2">
      <c r="B30" s="94"/>
      <c r="C30" s="94" t="s">
        <v>26</v>
      </c>
      <c r="D30" s="96"/>
      <c r="E30" s="96"/>
      <c r="F30" s="97"/>
      <c r="G30" s="329" t="s">
        <v>66</v>
      </c>
      <c r="H30" s="146"/>
      <c r="I30" s="147"/>
      <c r="J30" s="147"/>
      <c r="K30" s="148"/>
      <c r="L30" s="203" t="s">
        <v>66</v>
      </c>
      <c r="M30" s="87"/>
      <c r="O30" s="301" t="str">
        <f>CONCATENATE(C37," ",F37)</f>
        <v>Artery-Pulmonary (max point dose)</v>
      </c>
      <c r="P30" s="311" t="str">
        <f t="shared" si="0"/>
        <v>??</v>
      </c>
    </row>
    <row r="31" spans="2:16" ht="14.25" x14ac:dyDescent="0.25">
      <c r="B31" s="94"/>
      <c r="C31" s="94" t="s">
        <v>117</v>
      </c>
      <c r="D31" s="96"/>
      <c r="E31" s="345" t="s">
        <v>170</v>
      </c>
      <c r="F31" s="346"/>
      <c r="G31" s="199" t="s">
        <v>66</v>
      </c>
      <c r="H31" s="184" t="s">
        <v>37</v>
      </c>
      <c r="I31" s="122"/>
      <c r="J31" s="122"/>
      <c r="K31" s="204" t="s">
        <v>68</v>
      </c>
      <c r="L31" s="80" t="str">
        <f>'Calculations 48Gy4F_ or_ 60Gy5F'!K34</f>
        <v>??</v>
      </c>
      <c r="M31" s="230" t="s">
        <v>51</v>
      </c>
      <c r="O31" s="301" t="str">
        <f>CONCATENATE(C37," ",F38)</f>
        <v>Artery-Pulmonary V40Gy=</v>
      </c>
      <c r="P31" s="311" t="str">
        <f t="shared" si="0"/>
        <v>??</v>
      </c>
    </row>
    <row r="32" spans="2:16" ht="14.25" x14ac:dyDescent="0.25">
      <c r="B32" s="94"/>
      <c r="C32" s="94" t="s">
        <v>64</v>
      </c>
      <c r="D32" s="96"/>
      <c r="E32" s="345" t="s">
        <v>172</v>
      </c>
      <c r="F32" s="346"/>
      <c r="G32" s="326" t="s">
        <v>66</v>
      </c>
      <c r="H32" s="231"/>
      <c r="I32" s="122"/>
      <c r="J32" s="122"/>
      <c r="K32" s="232">
        <v>1500</v>
      </c>
      <c r="L32" s="194" t="str">
        <f>IF(G32="??","??",IF(G32&lt;=K32,"Yes","No"))</f>
        <v>??</v>
      </c>
      <c r="M32" s="233" t="s">
        <v>188</v>
      </c>
      <c r="O32" s="301" t="str">
        <f>CONCATENATE(C39," ",F39)</f>
        <v>Spinal Canal (max point dose)</v>
      </c>
      <c r="P32" s="311" t="str">
        <f t="shared" si="0"/>
        <v>??</v>
      </c>
    </row>
    <row r="33" spans="2:16" ht="15" thickBot="1" x14ac:dyDescent="0.3">
      <c r="B33" s="94"/>
      <c r="C33" s="193" t="s">
        <v>65</v>
      </c>
      <c r="D33" s="96"/>
      <c r="E33" s="347" t="s">
        <v>171</v>
      </c>
      <c r="F33" s="348"/>
      <c r="G33" s="339" t="s">
        <v>66</v>
      </c>
      <c r="H33" s="231"/>
      <c r="I33" s="96"/>
      <c r="J33" s="96"/>
      <c r="K33" s="144">
        <v>1000</v>
      </c>
      <c r="L33" s="194" t="str">
        <f>IF(G33="??","??",IF(G33&lt;=K33,"Yes","No"))</f>
        <v>??</v>
      </c>
      <c r="M33" s="233" t="s">
        <v>188</v>
      </c>
      <c r="O33" s="301" t="str">
        <f>CONCATENATE(C39," ",F40)</f>
        <v>Spinal Canal V20.8Gy=</v>
      </c>
      <c r="P33" s="311" t="str">
        <f t="shared" si="0"/>
        <v>??</v>
      </c>
    </row>
    <row r="34" spans="2:16" x14ac:dyDescent="0.2">
      <c r="B34" s="101" t="s">
        <v>37</v>
      </c>
      <c r="C34" s="99" t="s">
        <v>50</v>
      </c>
      <c r="D34" s="83"/>
      <c r="E34" s="83"/>
      <c r="F34" s="84"/>
      <c r="G34" s="119"/>
      <c r="H34" s="84"/>
      <c r="I34" s="83"/>
      <c r="J34" s="83"/>
      <c r="K34" s="119"/>
      <c r="L34" s="86"/>
      <c r="M34" s="87"/>
      <c r="O34" s="301" t="str">
        <f>CONCATENATE(C39," ",F41)</f>
        <v>Spinal Canal V13.6Gy=</v>
      </c>
      <c r="P34" s="311" t="str">
        <f t="shared" si="0"/>
        <v>??</v>
      </c>
    </row>
    <row r="35" spans="2:16" x14ac:dyDescent="0.2">
      <c r="B35" s="94"/>
      <c r="C35" s="205" t="s">
        <v>129</v>
      </c>
      <c r="D35" s="107" t="s">
        <v>37</v>
      </c>
      <c r="E35" s="122"/>
      <c r="F35" s="234" t="s">
        <v>60</v>
      </c>
      <c r="G35" s="330" t="s">
        <v>66</v>
      </c>
      <c r="H35" s="115"/>
      <c r="I35" s="107"/>
      <c r="J35" s="107"/>
      <c r="K35" s="108">
        <v>4800</v>
      </c>
      <c r="L35" s="12" t="str">
        <f>IF(G35="??","??",IF(G35&lt;=4800,"Yes","No"))</f>
        <v>??</v>
      </c>
      <c r="M35" s="140" t="s">
        <v>163</v>
      </c>
      <c r="O35" s="301" t="str">
        <f>CONCATENATE(C42," ",F42)</f>
        <v>Spinal Canal-PRV 5mm (max point dose)</v>
      </c>
      <c r="P35" s="311" t="str">
        <f t="shared" si="0"/>
        <v>??</v>
      </c>
    </row>
    <row r="36" spans="2:16" ht="14.25" x14ac:dyDescent="0.2">
      <c r="B36" s="94"/>
      <c r="C36" s="235"/>
      <c r="D36" s="236" t="s">
        <v>193</v>
      </c>
      <c r="E36" s="147"/>
      <c r="F36" s="237" t="s">
        <v>136</v>
      </c>
      <c r="G36" s="331" t="s">
        <v>66</v>
      </c>
      <c r="H36" s="131" t="s">
        <v>37</v>
      </c>
      <c r="I36" s="122"/>
      <c r="J36" s="122"/>
      <c r="K36" s="238">
        <v>10</v>
      </c>
      <c r="L36" s="12" t="str">
        <f>IF(G36="??","??",IF(G36&lt;=10,"Yes",IF(G36="OK","Yes","No")))</f>
        <v>??</v>
      </c>
      <c r="M36" s="87" t="s">
        <v>163</v>
      </c>
      <c r="O36" s="301" t="str">
        <f>CONCATENATE(C43," ",F43)</f>
        <v>Ipsilat. Brach. Plex. (max point dose)</v>
      </c>
      <c r="P36" s="311" t="str">
        <f t="shared" si="0"/>
        <v>??</v>
      </c>
    </row>
    <row r="37" spans="2:16" x14ac:dyDescent="0.2">
      <c r="B37" s="94"/>
      <c r="C37" s="193" t="s">
        <v>166</v>
      </c>
      <c r="D37" s="96"/>
      <c r="E37" s="239"/>
      <c r="F37" s="234" t="s">
        <v>60</v>
      </c>
      <c r="G37" s="340" t="s">
        <v>66</v>
      </c>
      <c r="H37" s="183" t="s">
        <v>37</v>
      </c>
      <c r="I37" s="122"/>
      <c r="J37" s="122"/>
      <c r="K37" s="238">
        <v>4800</v>
      </c>
      <c r="L37" s="12" t="str">
        <f>IF(G37="??","??",IF(G37&lt;=4800,"Yes","No"))</f>
        <v>??</v>
      </c>
      <c r="M37" s="87" t="s">
        <v>163</v>
      </c>
      <c r="O37" s="301" t="str">
        <f>CONCATENATE(C43," ",F44)</f>
        <v>Ipsilat. Brach. Plex. V23.6Gy=</v>
      </c>
      <c r="P37" s="311" t="str">
        <f t="shared" si="0"/>
        <v>??</v>
      </c>
    </row>
    <row r="38" spans="2:16" ht="14.25" x14ac:dyDescent="0.2">
      <c r="B38" s="94"/>
      <c r="C38" s="235"/>
      <c r="D38" s="236" t="s">
        <v>193</v>
      </c>
      <c r="E38" s="147"/>
      <c r="F38" s="237" t="s">
        <v>136</v>
      </c>
      <c r="G38" s="331" t="s">
        <v>66</v>
      </c>
      <c r="H38" s="131"/>
      <c r="I38" s="122"/>
      <c r="J38" s="122"/>
      <c r="K38" s="238">
        <v>10</v>
      </c>
      <c r="L38" s="12" t="str">
        <f>IF(G38="??","??",IF(G38&lt;=10,"Yes",IF(G38="OK","Yes","No")))</f>
        <v>??</v>
      </c>
      <c r="M38" s="140" t="s">
        <v>163</v>
      </c>
      <c r="O38" s="301" t="str">
        <f>CONCATENATE(C45," ",F45)</f>
        <v>Skin V30Gy=</v>
      </c>
      <c r="P38" s="311" t="str">
        <f t="shared" si="0"/>
        <v>??</v>
      </c>
    </row>
    <row r="39" spans="2:16" x14ac:dyDescent="0.2">
      <c r="B39" s="94"/>
      <c r="C39" s="94" t="s">
        <v>15</v>
      </c>
      <c r="D39" s="96"/>
      <c r="E39" s="122"/>
      <c r="F39" s="240" t="s">
        <v>60</v>
      </c>
      <c r="G39" s="341" t="s">
        <v>66</v>
      </c>
      <c r="H39" s="97"/>
      <c r="I39" s="143" t="s">
        <v>37</v>
      </c>
      <c r="J39" s="96"/>
      <c r="K39" s="128">
        <v>2600</v>
      </c>
      <c r="L39" s="12" t="str">
        <f>IF(G39="??","??",IF(G39&lt;=2600,"Yes","No"))</f>
        <v>??</v>
      </c>
      <c r="M39" s="87" t="s">
        <v>61</v>
      </c>
      <c r="O39" s="301" t="str">
        <f>CONCATENATE(C46," ",F46)</f>
        <v>Heart (max point dose)</v>
      </c>
      <c r="P39" s="311" t="str">
        <f t="shared" si="0"/>
        <v>??</v>
      </c>
    </row>
    <row r="40" spans="2:16" ht="14.25" x14ac:dyDescent="0.2">
      <c r="B40" s="94"/>
      <c r="C40" s="94"/>
      <c r="D40" s="349" t="s">
        <v>190</v>
      </c>
      <c r="E40" s="350"/>
      <c r="F40" s="241" t="s">
        <v>142</v>
      </c>
      <c r="G40" s="331" t="s">
        <v>66</v>
      </c>
      <c r="H40" s="131"/>
      <c r="I40" s="122"/>
      <c r="J40" s="122"/>
      <c r="K40" s="16">
        <v>0.35</v>
      </c>
      <c r="L40" s="12" t="str">
        <f>IF(G40="??","??",IF(G40&lt;=0.35,"Yes",IF(G40="OK","Yes","No")))</f>
        <v>??</v>
      </c>
      <c r="M40" s="87" t="s">
        <v>61</v>
      </c>
      <c r="O40" s="301" t="str">
        <f>CONCATENATE(C46," ",F47)</f>
        <v>Heart V28Gy=</v>
      </c>
      <c r="P40" s="311" t="str">
        <f t="shared" si="0"/>
        <v>??</v>
      </c>
    </row>
    <row r="41" spans="2:16" ht="14.25" x14ac:dyDescent="0.2">
      <c r="B41" s="94"/>
      <c r="C41" s="178"/>
      <c r="D41" s="143" t="s">
        <v>192</v>
      </c>
      <c r="E41" s="147"/>
      <c r="F41" s="242" t="s">
        <v>143</v>
      </c>
      <c r="G41" s="331" t="s">
        <v>66</v>
      </c>
      <c r="H41" s="146"/>
      <c r="I41" s="147"/>
      <c r="J41" s="147"/>
      <c r="K41" s="148">
        <v>1.2</v>
      </c>
      <c r="L41" s="12" t="str">
        <f>IF(G41="??","??",IF(G41&lt;=1.2,"Yes",IF(G41="OK","Yes","No")))</f>
        <v>??</v>
      </c>
      <c r="M41" s="87" t="s">
        <v>61</v>
      </c>
      <c r="O41" s="301" t="str">
        <f>CONCATENATE(C48," ",F48)</f>
        <v>Esophagus (max point dose)</v>
      </c>
      <c r="P41" s="311" t="str">
        <f t="shared" si="0"/>
        <v>??</v>
      </c>
    </row>
    <row r="42" spans="2:16" x14ac:dyDescent="0.2">
      <c r="B42" s="94"/>
      <c r="C42" s="243" t="s">
        <v>35</v>
      </c>
      <c r="D42" s="122"/>
      <c r="E42" s="122"/>
      <c r="F42" s="244" t="s">
        <v>60</v>
      </c>
      <c r="G42" s="338" t="s">
        <v>66</v>
      </c>
      <c r="H42" s="131"/>
      <c r="I42" s="122"/>
      <c r="J42" s="122"/>
      <c r="K42" s="16">
        <v>2900</v>
      </c>
      <c r="L42" s="12" t="str">
        <f>IF(G42="??","??",IF(G42&lt;=2900,"Yes","No"))</f>
        <v>??</v>
      </c>
      <c r="M42" s="87"/>
      <c r="O42" s="301" t="str">
        <f>CONCATENATE(C48," ",F49)</f>
        <v>Esophagus V18.8Gy=</v>
      </c>
      <c r="P42" s="311" t="str">
        <f t="shared" si="0"/>
        <v>??</v>
      </c>
    </row>
    <row r="43" spans="2:16" x14ac:dyDescent="0.2">
      <c r="B43" s="94"/>
      <c r="C43" s="205" t="s">
        <v>183</v>
      </c>
      <c r="D43" s="107"/>
      <c r="E43" s="122"/>
      <c r="F43" s="234" t="s">
        <v>60</v>
      </c>
      <c r="G43" s="169" t="s">
        <v>66</v>
      </c>
      <c r="H43" s="115"/>
      <c r="I43" s="107"/>
      <c r="J43" s="107"/>
      <c r="K43" s="116">
        <v>2700</v>
      </c>
      <c r="L43" s="12" t="str">
        <f>IF(G43="??","??",IF(G43&lt;=2700,"Yes","No"))</f>
        <v>??</v>
      </c>
      <c r="M43" s="140" t="s">
        <v>163</v>
      </c>
      <c r="O43" s="301" t="str">
        <f>CONCATENATE(C50," ",F50)</f>
        <v>*Chestwall (rib) (max point dose)</v>
      </c>
      <c r="P43" s="311" t="str">
        <f t="shared" si="0"/>
        <v>??</v>
      </c>
    </row>
    <row r="44" spans="2:16" ht="14.25" customHeight="1" x14ac:dyDescent="0.2">
      <c r="B44" s="94"/>
      <c r="C44" s="94"/>
      <c r="D44" s="143" t="s">
        <v>194</v>
      </c>
      <c r="E44" s="152" t="s">
        <v>37</v>
      </c>
      <c r="F44" s="242" t="s">
        <v>144</v>
      </c>
      <c r="G44" s="4" t="s">
        <v>66</v>
      </c>
      <c r="H44" s="131"/>
      <c r="I44" s="122"/>
      <c r="J44" s="122"/>
      <c r="K44" s="16">
        <v>3</v>
      </c>
      <c r="L44" s="12" t="str">
        <f>IF(G44="??","??",IF(G44&lt;=3,"Yes",IF(G44="OK","Yes","No")))</f>
        <v>??</v>
      </c>
      <c r="M44" s="140" t="s">
        <v>189</v>
      </c>
      <c r="O44" s="301" t="str">
        <f>CONCATENATE(C50," ",F51)</f>
        <v>*Chestwall (rib) V40Gy=</v>
      </c>
      <c r="P44" s="311" t="str">
        <f t="shared" si="0"/>
        <v>??</v>
      </c>
    </row>
    <row r="45" spans="2:16" ht="14.25" x14ac:dyDescent="0.2">
      <c r="B45" s="94"/>
      <c r="C45" s="243" t="s">
        <v>14</v>
      </c>
      <c r="D45" s="226" t="s">
        <v>195</v>
      </c>
      <c r="E45" s="122"/>
      <c r="F45" s="241" t="s">
        <v>118</v>
      </c>
      <c r="G45" s="326" t="s">
        <v>66</v>
      </c>
      <c r="H45" s="131" t="s">
        <v>37</v>
      </c>
      <c r="I45" s="122"/>
      <c r="J45" s="122"/>
      <c r="K45" s="16">
        <v>10</v>
      </c>
      <c r="L45" s="12" t="str">
        <f>IF(G45="??","??",IF(G45&lt;=10,"Yes",IF(G45="OK","Yes","No")))</f>
        <v>??</v>
      </c>
      <c r="M45" s="140" t="s">
        <v>189</v>
      </c>
      <c r="O45" s="301" t="str">
        <f>CONCATENATE(C50," ",F52)</f>
        <v>*Chestwall (rib) V30Gy=</v>
      </c>
      <c r="P45" s="311" t="str">
        <f t="shared" si="0"/>
        <v>??</v>
      </c>
    </row>
    <row r="46" spans="2:16" x14ac:dyDescent="0.2">
      <c r="B46" s="94"/>
      <c r="C46" s="151" t="s">
        <v>17</v>
      </c>
      <c r="D46" s="107"/>
      <c r="E46" s="122"/>
      <c r="F46" s="240" t="s">
        <v>60</v>
      </c>
      <c r="G46" s="332" t="s">
        <v>66</v>
      </c>
      <c r="H46" s="115"/>
      <c r="I46" s="107"/>
      <c r="J46" s="107"/>
      <c r="K46" s="116">
        <v>3400</v>
      </c>
      <c r="L46" s="12" t="str">
        <f>IF(G46="??","??",IF(G46&lt;=3400,"Yes","No"))</f>
        <v>??</v>
      </c>
      <c r="M46" s="87" t="s">
        <v>61</v>
      </c>
      <c r="O46" s="301" t="str">
        <f>CONCATENATE(A53," ",F53)</f>
        <v>Trachea (max point dose)</v>
      </c>
      <c r="P46" s="312" t="str">
        <f>A54</f>
        <v>??</v>
      </c>
    </row>
    <row r="47" spans="2:16" ht="14.25" x14ac:dyDescent="0.2">
      <c r="B47" s="94"/>
      <c r="C47" s="235" t="s">
        <v>37</v>
      </c>
      <c r="D47" s="236" t="s">
        <v>196</v>
      </c>
      <c r="E47" s="147"/>
      <c r="F47" s="245" t="s">
        <v>119</v>
      </c>
      <c r="G47" s="331" t="s">
        <v>66</v>
      </c>
      <c r="H47" s="131"/>
      <c r="I47" s="122"/>
      <c r="J47" s="122"/>
      <c r="K47" s="16">
        <v>15</v>
      </c>
      <c r="L47" s="12" t="str">
        <f>IF(G47="??","??",IF(G47&lt;=15,"Yes",IF(G47="OK","Yes","No")))</f>
        <v>??</v>
      </c>
      <c r="M47" s="87" t="s">
        <v>61</v>
      </c>
      <c r="O47" s="301" t="str">
        <f>CONCATENATE(A53," ",F55)</f>
        <v>Trachea V15.6Gy=</v>
      </c>
      <c r="P47" s="312" t="str">
        <f>A55</f>
        <v>??</v>
      </c>
    </row>
    <row r="48" spans="2:16" x14ac:dyDescent="0.2">
      <c r="B48" s="94"/>
      <c r="C48" s="94" t="s">
        <v>13</v>
      </c>
      <c r="D48" s="96"/>
      <c r="E48" s="122"/>
      <c r="F48" s="240" t="s">
        <v>60</v>
      </c>
      <c r="G48" s="332" t="s">
        <v>66</v>
      </c>
      <c r="H48" s="115"/>
      <c r="I48" s="107"/>
      <c r="J48" s="107"/>
      <c r="K48" s="116">
        <v>3000</v>
      </c>
      <c r="L48" s="12" t="str">
        <f>IF(G48="??","??",IF(G48&lt;=3000,"Yes","No"))</f>
        <v>??</v>
      </c>
      <c r="M48" s="140" t="s">
        <v>189</v>
      </c>
      <c r="O48" s="301" t="str">
        <f>CONCATENATE(B53," ",F53)</f>
        <v>Bronchus (max point dose)</v>
      </c>
      <c r="P48" s="312" t="str">
        <f>B54</f>
        <v>??</v>
      </c>
    </row>
    <row r="49" spans="1:16" ht="14.25" x14ac:dyDescent="0.2">
      <c r="B49" s="94"/>
      <c r="C49" s="178"/>
      <c r="D49" s="246" t="s">
        <v>197</v>
      </c>
      <c r="E49" s="147"/>
      <c r="F49" s="245" t="s">
        <v>120</v>
      </c>
      <c r="G49" s="331" t="s">
        <v>66</v>
      </c>
      <c r="H49" s="131"/>
      <c r="I49" s="122"/>
      <c r="J49" s="122"/>
      <c r="K49" s="16">
        <v>5</v>
      </c>
      <c r="L49" s="12" t="str">
        <f>IF(G49="??","??",IF(G49&lt;=5,"Yes",IF(G49="OK","Yes","No")))</f>
        <v>??</v>
      </c>
      <c r="M49" s="87"/>
      <c r="O49" s="301" t="str">
        <f>CONCATENATE(B53," ",F55)</f>
        <v>Bronchus V15.6Gy=</v>
      </c>
      <c r="P49" s="312" t="str">
        <f>B55</f>
        <v>??</v>
      </c>
    </row>
    <row r="50" spans="1:16" x14ac:dyDescent="0.2">
      <c r="B50" s="94"/>
      <c r="C50" s="151" t="s">
        <v>124</v>
      </c>
      <c r="D50" s="107"/>
      <c r="E50" s="122"/>
      <c r="F50" s="240" t="s">
        <v>60</v>
      </c>
      <c r="G50" s="332" t="s">
        <v>66</v>
      </c>
      <c r="H50" s="115"/>
      <c r="I50" s="107"/>
      <c r="J50" s="107"/>
      <c r="K50" s="116">
        <v>5000</v>
      </c>
      <c r="L50" s="12" t="str">
        <f>IF(G50="??","??",IF(G50&lt;=5000,"Yes","No"))</f>
        <v>??</v>
      </c>
      <c r="M50" s="140" t="s">
        <v>163</v>
      </c>
      <c r="O50" s="301" t="str">
        <f>CONCATENATE(C53," ",C54," ",F53)</f>
        <v>Proximal Trachea and Bronchial Tree (max point dose)</v>
      </c>
      <c r="P50" s="311" t="str">
        <f>G53</f>
        <v>??</v>
      </c>
    </row>
    <row r="51" spans="1:16" ht="14.25" x14ac:dyDescent="0.2">
      <c r="B51" s="94"/>
      <c r="C51" s="94"/>
      <c r="D51" s="143" t="s">
        <v>198</v>
      </c>
      <c r="E51" s="96"/>
      <c r="F51" s="242" t="s">
        <v>136</v>
      </c>
      <c r="G51" s="331" t="s">
        <v>66</v>
      </c>
      <c r="H51" s="131"/>
      <c r="I51" s="122"/>
      <c r="J51" s="122"/>
      <c r="K51" s="16">
        <v>5</v>
      </c>
      <c r="L51" s="12" t="str">
        <f>IF(G51="??","??",IF(G51&lt;=5,"Yes",IF(G51="OK","Yes","No")))</f>
        <v>??</v>
      </c>
      <c r="M51" s="87" t="s">
        <v>163</v>
      </c>
      <c r="O51" s="301" t="str">
        <f>CONCATENATE(C53," ",C54," ",F55)</f>
        <v>Proximal Trachea and Bronchial Tree V15.6Gy=</v>
      </c>
      <c r="P51" s="311" t="str">
        <f>G55</f>
        <v>??</v>
      </c>
    </row>
    <row r="52" spans="1:16" ht="15" thickBot="1" x14ac:dyDescent="0.25">
      <c r="B52" s="94"/>
      <c r="C52" s="94"/>
      <c r="D52" s="247" t="s">
        <v>191</v>
      </c>
      <c r="E52" s="248" t="s">
        <v>37</v>
      </c>
      <c r="F52" s="249" t="s">
        <v>118</v>
      </c>
      <c r="G52" s="342" t="s">
        <v>66</v>
      </c>
      <c r="H52" s="146"/>
      <c r="I52" s="147"/>
      <c r="J52" s="147"/>
      <c r="K52" s="148">
        <v>30</v>
      </c>
      <c r="L52" s="12" t="str">
        <f>IF(G52="??","??",IF(G52&lt;=30,"Yes",IF(G52="OK","Yes","No")))</f>
        <v>??</v>
      </c>
      <c r="M52" s="87" t="s">
        <v>61</v>
      </c>
      <c r="O52" s="301" t="str">
        <f>CONCATENATE(C56," ",C57," ",F56)</f>
        <v>Stomach and Intestines (max point dose)</v>
      </c>
      <c r="P52" s="311" t="str">
        <f>G56</f>
        <v>??</v>
      </c>
    </row>
    <row r="53" spans="1:16" ht="13.5" thickBot="1" x14ac:dyDescent="0.25">
      <c r="A53" s="294" t="s">
        <v>203</v>
      </c>
      <c r="B53" s="295" t="s">
        <v>204</v>
      </c>
      <c r="C53" s="151" t="s">
        <v>16</v>
      </c>
      <c r="D53" s="107"/>
      <c r="E53" s="107"/>
      <c r="F53" s="250" t="s">
        <v>60</v>
      </c>
      <c r="G53" s="197" t="s">
        <v>66</v>
      </c>
      <c r="H53" s="115" t="s">
        <v>37</v>
      </c>
      <c r="I53" s="107"/>
      <c r="J53" s="107"/>
      <c r="K53" s="116">
        <v>3480</v>
      </c>
      <c r="L53" s="251" t="str">
        <f>IF(G53="??","??",IF(G53&lt;=3480,"Yes","No"))</f>
        <v>??</v>
      </c>
      <c r="M53" s="87" t="s">
        <v>61</v>
      </c>
      <c r="O53" s="301" t="str">
        <f>CONCATENATE(C56," ",C57," ",F57)</f>
        <v>Stomach and Intestines V21Gy=</v>
      </c>
      <c r="P53" s="311" t="str">
        <f>G57</f>
        <v>??</v>
      </c>
    </row>
    <row r="54" spans="1:16" x14ac:dyDescent="0.2">
      <c r="A54" s="333" t="s">
        <v>66</v>
      </c>
      <c r="B54" s="334" t="s">
        <v>66</v>
      </c>
      <c r="C54" s="94" t="s">
        <v>122</v>
      </c>
      <c r="D54" s="96"/>
      <c r="E54" s="147"/>
      <c r="F54" s="252"/>
      <c r="G54" s="170" t="s">
        <v>66</v>
      </c>
      <c r="H54" s="146"/>
      <c r="I54" s="147"/>
      <c r="J54" s="147"/>
      <c r="K54" s="148"/>
      <c r="L54" s="253"/>
      <c r="M54" s="87"/>
      <c r="O54" s="301" t="str">
        <f>C58</f>
        <v>Dosimetrist:</v>
      </c>
      <c r="P54" s="305" t="str">
        <f>C59</f>
        <v>??</v>
      </c>
    </row>
    <row r="55" spans="1:16" ht="15" thickBot="1" x14ac:dyDescent="0.25">
      <c r="A55" s="335" t="s">
        <v>66</v>
      </c>
      <c r="B55" s="297" t="s">
        <v>66</v>
      </c>
      <c r="C55" s="178"/>
      <c r="D55" s="236" t="s">
        <v>199</v>
      </c>
      <c r="E55" s="147"/>
      <c r="F55" s="245" t="s">
        <v>121</v>
      </c>
      <c r="G55" s="197" t="s">
        <v>66</v>
      </c>
      <c r="H55" s="146" t="s">
        <v>37</v>
      </c>
      <c r="I55" s="147"/>
      <c r="J55" s="147"/>
      <c r="K55" s="148">
        <v>4</v>
      </c>
      <c r="L55" s="12" t="str">
        <f>IF(G55="??","??",IF(G55&lt;=4,"Yes",IF(G55="OK","Yes","No")))</f>
        <v>??</v>
      </c>
      <c r="M55" s="87" t="s">
        <v>61</v>
      </c>
      <c r="O55" s="301" t="str">
        <f>G58</f>
        <v>Physicist:</v>
      </c>
      <c r="P55" s="305" t="str">
        <f>G59</f>
        <v>??</v>
      </c>
    </row>
    <row r="56" spans="1:16" x14ac:dyDescent="0.2">
      <c r="B56" s="94"/>
      <c r="C56" s="94" t="s">
        <v>127</v>
      </c>
      <c r="D56" s="96"/>
      <c r="E56" s="122"/>
      <c r="F56" s="240" t="s">
        <v>60</v>
      </c>
      <c r="G56" s="197" t="s">
        <v>66</v>
      </c>
      <c r="H56" s="97"/>
      <c r="I56" s="96"/>
      <c r="J56" s="96"/>
      <c r="K56" s="128">
        <v>2800</v>
      </c>
      <c r="L56" s="12" t="str">
        <f>IF(G56="??","??",IF(G56&lt;=2800,"Yes","No"))</f>
        <v>??</v>
      </c>
      <c r="M56" s="87" t="s">
        <v>163</v>
      </c>
      <c r="O56" s="301" t="str">
        <f>K58</f>
        <v>Radiation Oncologist:</v>
      </c>
      <c r="P56" s="305" t="str">
        <f>K59</f>
        <v>??</v>
      </c>
    </row>
    <row r="57" spans="1:16" ht="16.5" thickBot="1" x14ac:dyDescent="0.35">
      <c r="B57" s="94"/>
      <c r="C57" s="254" t="s">
        <v>135</v>
      </c>
      <c r="D57" s="255" t="s">
        <v>202</v>
      </c>
      <c r="E57" s="96"/>
      <c r="F57" s="242" t="s">
        <v>162</v>
      </c>
      <c r="G57" s="167" t="s">
        <v>66</v>
      </c>
      <c r="H57" s="97" t="s">
        <v>37</v>
      </c>
      <c r="I57" s="96"/>
      <c r="J57" s="96"/>
      <c r="K57" s="135">
        <v>1</v>
      </c>
      <c r="L57" s="12" t="str">
        <f>IF(G57="??","??",IF(G57&lt;=1,"Yes",IF(G57="OK","Yes","No")))</f>
        <v>??</v>
      </c>
      <c r="M57" s="87" t="s">
        <v>163</v>
      </c>
      <c r="O57" s="301" t="str">
        <f>B60</f>
        <v>NOTES:</v>
      </c>
      <c r="P57" s="305">
        <f>C60</f>
        <v>0</v>
      </c>
    </row>
    <row r="58" spans="1:16" x14ac:dyDescent="0.2">
      <c r="B58" s="82"/>
      <c r="C58" s="117" t="s">
        <v>55</v>
      </c>
      <c r="D58" s="83"/>
      <c r="E58" s="83"/>
      <c r="F58" s="84"/>
      <c r="G58" s="98" t="s">
        <v>56</v>
      </c>
      <c r="H58" s="84"/>
      <c r="I58" s="83"/>
      <c r="J58" s="117" t="s">
        <v>57</v>
      </c>
      <c r="K58" s="85" t="s">
        <v>57</v>
      </c>
      <c r="L58" s="86"/>
      <c r="M58" s="87"/>
    </row>
    <row r="59" spans="1:16" x14ac:dyDescent="0.2">
      <c r="B59" s="343" t="s">
        <v>207</v>
      </c>
      <c r="C59" s="22" t="s">
        <v>66</v>
      </c>
      <c r="D59" s="96"/>
      <c r="E59" s="96"/>
      <c r="F59" s="97"/>
      <c r="G59" s="22" t="s">
        <v>66</v>
      </c>
      <c r="H59" s="97"/>
      <c r="I59" s="96"/>
      <c r="J59" s="96"/>
      <c r="K59" s="22" t="s">
        <v>66</v>
      </c>
      <c r="L59" s="100"/>
      <c r="M59" s="87"/>
    </row>
    <row r="60" spans="1:16" x14ac:dyDescent="0.2">
      <c r="B60" s="101" t="s">
        <v>138</v>
      </c>
      <c r="C60" s="21"/>
      <c r="D60" s="182" t="s">
        <v>37</v>
      </c>
      <c r="E60" s="21"/>
      <c r="F60" s="22"/>
      <c r="G60" s="22"/>
      <c r="H60" s="22"/>
      <c r="I60" s="21"/>
      <c r="J60" s="21"/>
      <c r="K60" s="22"/>
      <c r="L60" s="17"/>
      <c r="M60" s="87"/>
    </row>
    <row r="61" spans="1:16" ht="13.5" thickBot="1" x14ac:dyDescent="0.25">
      <c r="B61" s="89"/>
      <c r="C61" s="90"/>
      <c r="D61" s="90"/>
      <c r="E61" s="90"/>
      <c r="F61" s="256" t="s">
        <v>125</v>
      </c>
      <c r="G61" s="257" t="s">
        <v>123</v>
      </c>
      <c r="H61" s="256"/>
      <c r="I61" s="257"/>
      <c r="J61" s="257"/>
      <c r="K61" s="256"/>
      <c r="L61" s="258"/>
      <c r="M61" s="87"/>
    </row>
    <row r="62" spans="1:16" x14ac:dyDescent="0.2">
      <c r="B62" s="153" t="s">
        <v>160</v>
      </c>
      <c r="C62" s="88"/>
      <c r="D62" s="88"/>
      <c r="E62" s="88"/>
      <c r="F62" s="154"/>
      <c r="G62" s="154"/>
      <c r="H62" s="154"/>
      <c r="I62" s="88"/>
      <c r="J62" s="88"/>
      <c r="K62" s="154"/>
      <c r="L62" s="154"/>
      <c r="M62" s="87"/>
    </row>
    <row r="63" spans="1:16" x14ac:dyDescent="0.2">
      <c r="B63" s="88"/>
      <c r="C63" s="88"/>
      <c r="D63" s="88"/>
      <c r="E63" s="88"/>
      <c r="F63" s="154"/>
      <c r="G63" s="154"/>
      <c r="H63" s="154"/>
      <c r="I63" s="88"/>
      <c r="J63" s="88"/>
      <c r="K63" s="154"/>
      <c r="L63" s="154"/>
      <c r="M63" s="87"/>
    </row>
  </sheetData>
  <sheetProtection formatCells="0" formatColumns="0" formatRows="0"/>
  <mergeCells count="4">
    <mergeCell ref="E32:F32"/>
    <mergeCell ref="E31:F31"/>
    <mergeCell ref="E33:F33"/>
    <mergeCell ref="D40:E40"/>
  </mergeCells>
  <phoneticPr fontId="2" type="noConversion"/>
  <conditionalFormatting sqref="L35:L57">
    <cfRule type="containsText" dxfId="16" priority="7" stopIfTrue="1" operator="containsText" text="No">
      <formula>NOT(ISERROR(SEARCH("No",L35)))</formula>
    </cfRule>
  </conditionalFormatting>
  <conditionalFormatting sqref="L14:L20 L22:L33">
    <cfRule type="containsText" dxfId="15" priority="4" stopIfTrue="1" operator="containsText" text="Minor">
      <formula>NOT(ISERROR(SEARCH("Minor",L14)))</formula>
    </cfRule>
    <cfRule type="containsText" dxfId="14" priority="5" stopIfTrue="1" operator="containsText" text="No">
      <formula>NOT(ISERROR(SEARCH("No",L14)))</formula>
    </cfRule>
    <cfRule type="containsText" dxfId="13" priority="6" stopIfTrue="1" operator="containsText" text="Major">
      <formula>NOT(ISERROR(SEARCH("Major",L14)))</formula>
    </cfRule>
  </conditionalFormatting>
  <conditionalFormatting sqref="L21">
    <cfRule type="containsText" dxfId="12" priority="2" stopIfTrue="1" operator="containsText" text="No">
      <formula>NOT(ISERROR(SEARCH("No",L21)))</formula>
    </cfRule>
    <cfRule type="containsText" dxfId="11" priority="3" stopIfTrue="1" operator="containsText" text="Major">
      <formula>NOT(ISERROR(SEARCH("Major",L21)))</formula>
    </cfRule>
  </conditionalFormatting>
  <conditionalFormatting sqref="L21">
    <cfRule type="containsText" dxfId="10" priority="1" stopIfTrue="1" operator="containsText" text="Minor">
      <formula>NOT(ISERROR(SEARCH("Minor",L21)))</formula>
    </cfRule>
  </conditionalFormatting>
  <pageMargins left="0.75" right="0.75" top="1" bottom="1" header="0.5" footer="0.5"/>
  <pageSetup scale="80" orientation="portrait" r:id="rId1"/>
  <headerFooter alignWithMargins="0"/>
  <ignoredErrors>
    <ignoredError sqref="L5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P60"/>
  <sheetViews>
    <sheetView zoomScaleNormal="100" workbookViewId="0">
      <selection activeCell="R20" sqref="R20"/>
    </sheetView>
  </sheetViews>
  <sheetFormatPr defaultRowHeight="12.75" x14ac:dyDescent="0.2"/>
  <cols>
    <col min="1" max="1" width="8.28515625" customWidth="1"/>
    <col min="4" max="4" width="11.7109375" customWidth="1"/>
    <col min="5" max="5" width="3.85546875" customWidth="1"/>
    <col min="6" max="6" width="8.140625" style="1" customWidth="1"/>
    <col min="7" max="7" width="19.28515625" style="1" customWidth="1"/>
    <col min="8" max="8" width="19.5703125" style="1" customWidth="1"/>
    <col min="9" max="9" width="0" hidden="1" customWidth="1"/>
    <col min="10" max="10" width="3.85546875" hidden="1" customWidth="1"/>
    <col min="11" max="11" width="14.42578125" style="1" customWidth="1"/>
    <col min="12" max="12" width="17.42578125" style="1" customWidth="1"/>
    <col min="13" max="13" width="14" style="2" customWidth="1"/>
    <col min="15" max="15" width="38.85546875" style="313" bestFit="1" customWidth="1"/>
    <col min="16" max="16" width="13.5703125" style="314" bestFit="1" customWidth="1"/>
  </cols>
  <sheetData>
    <row r="1" spans="2:16" ht="13.5" thickBot="1" x14ac:dyDescent="0.25">
      <c r="B1" s="206" t="s">
        <v>156</v>
      </c>
      <c r="C1" s="207"/>
      <c r="D1" s="206"/>
      <c r="E1" s="207"/>
      <c r="F1" s="208"/>
      <c r="G1" s="208"/>
      <c r="H1" s="209" t="s">
        <v>155</v>
      </c>
      <c r="I1" s="206"/>
      <c r="J1" s="206"/>
      <c r="K1" s="210"/>
      <c r="L1" s="210"/>
      <c r="M1" s="87"/>
      <c r="O1" s="300"/>
    </row>
    <row r="2" spans="2:16" x14ac:dyDescent="0.2">
      <c r="B2" s="82"/>
      <c r="C2" s="83"/>
      <c r="D2" s="83"/>
      <c r="E2" s="83"/>
      <c r="F2" s="84"/>
      <c r="G2" s="85" t="s">
        <v>137</v>
      </c>
      <c r="H2" s="84"/>
      <c r="I2" s="83"/>
      <c r="J2" s="83"/>
      <c r="K2" s="84"/>
      <c r="L2" s="86"/>
      <c r="M2" s="87"/>
      <c r="O2" s="300"/>
    </row>
    <row r="3" spans="2:16" ht="13.5" thickBot="1" x14ac:dyDescent="0.25">
      <c r="B3" s="89"/>
      <c r="C3" s="90"/>
      <c r="D3" s="90"/>
      <c r="E3" s="90"/>
      <c r="F3" s="91"/>
      <c r="G3" s="92" t="s">
        <v>36</v>
      </c>
      <c r="H3" s="91"/>
      <c r="I3" s="90"/>
      <c r="J3" s="90"/>
      <c r="K3" s="91"/>
      <c r="L3" s="93"/>
      <c r="M3" s="87"/>
      <c r="O3" s="300"/>
    </row>
    <row r="4" spans="2:16" x14ac:dyDescent="0.2">
      <c r="B4" s="94"/>
      <c r="C4" s="95" t="s">
        <v>0</v>
      </c>
      <c r="D4" s="319" t="s">
        <v>66</v>
      </c>
      <c r="E4" s="96"/>
      <c r="F4" s="95" t="s">
        <v>169</v>
      </c>
      <c r="G4" s="97"/>
      <c r="H4" s="324" t="s">
        <v>66</v>
      </c>
      <c r="I4" s="96"/>
      <c r="J4" s="96"/>
      <c r="K4" s="98" t="s">
        <v>2</v>
      </c>
      <c r="L4" s="17" t="s">
        <v>66</v>
      </c>
      <c r="M4" s="87"/>
      <c r="O4" s="301" t="str">
        <f>C4</f>
        <v>Patient:</v>
      </c>
      <c r="P4" s="306" t="str">
        <f>D4</f>
        <v>??</v>
      </c>
    </row>
    <row r="5" spans="2:16" ht="13.5" thickBot="1" x14ac:dyDescent="0.25">
      <c r="B5" s="94"/>
      <c r="C5" s="95" t="s">
        <v>1</v>
      </c>
      <c r="D5" s="20" t="s">
        <v>66</v>
      </c>
      <c r="E5" s="96"/>
      <c r="F5" s="95" t="s">
        <v>167</v>
      </c>
      <c r="G5" s="97"/>
      <c r="H5" s="163" t="s">
        <v>66</v>
      </c>
      <c r="I5" s="96"/>
      <c r="J5" s="96"/>
      <c r="K5" s="98" t="s">
        <v>3</v>
      </c>
      <c r="L5" s="320" t="s">
        <v>66</v>
      </c>
      <c r="M5" s="87"/>
      <c r="O5" s="301" t="str">
        <f>C5</f>
        <v>CR#:</v>
      </c>
      <c r="P5" s="306" t="str">
        <f>D5</f>
        <v>??</v>
      </c>
    </row>
    <row r="6" spans="2:16" x14ac:dyDescent="0.2">
      <c r="B6" s="99" t="s">
        <v>9</v>
      </c>
      <c r="C6" s="83"/>
      <c r="D6" s="83"/>
      <c r="E6" s="83"/>
      <c r="F6" s="84"/>
      <c r="G6" s="84"/>
      <c r="H6" s="84"/>
      <c r="I6" s="83"/>
      <c r="J6" s="83"/>
      <c r="K6" s="84"/>
      <c r="L6" s="86"/>
      <c r="M6" s="87"/>
      <c r="O6" s="301" t="str">
        <f>K4</f>
        <v>Site:</v>
      </c>
      <c r="P6" s="306" t="str">
        <f>L4</f>
        <v>??</v>
      </c>
    </row>
    <row r="7" spans="2:16" x14ac:dyDescent="0.2">
      <c r="B7" s="94"/>
      <c r="C7" s="96" t="s">
        <v>4</v>
      </c>
      <c r="D7" s="96"/>
      <c r="E7" s="96"/>
      <c r="F7" s="97"/>
      <c r="G7" s="321" t="s">
        <v>66</v>
      </c>
      <c r="H7" s="97"/>
      <c r="I7" s="96"/>
      <c r="J7" s="96"/>
      <c r="K7" s="97"/>
      <c r="L7" s="100"/>
      <c r="M7" s="87"/>
      <c r="O7" s="301" t="str">
        <f>K5</f>
        <v>Plan Name:</v>
      </c>
      <c r="P7" s="306" t="str">
        <f>L5</f>
        <v>??</v>
      </c>
    </row>
    <row r="8" spans="2:16" x14ac:dyDescent="0.2">
      <c r="B8" s="94"/>
      <c r="C8" s="96" t="s">
        <v>5</v>
      </c>
      <c r="D8" s="96"/>
      <c r="E8" s="96"/>
      <c r="F8" s="97"/>
      <c r="G8" s="322" t="s">
        <v>66</v>
      </c>
      <c r="H8" s="97"/>
      <c r="I8" s="96"/>
      <c r="J8" s="96"/>
      <c r="K8" s="97"/>
      <c r="L8" s="100" t="s">
        <v>37</v>
      </c>
      <c r="M8" s="87"/>
      <c r="O8" s="301" t="str">
        <f>F4</f>
        <v>Prescription Dose (cGy):</v>
      </c>
      <c r="P8" s="306" t="str">
        <f>H4</f>
        <v>??</v>
      </c>
    </row>
    <row r="9" spans="2:16" x14ac:dyDescent="0.2">
      <c r="B9" s="94"/>
      <c r="C9" s="96" t="s">
        <v>6</v>
      </c>
      <c r="D9" s="96"/>
      <c r="E9" s="96"/>
      <c r="F9" s="97"/>
      <c r="G9" s="321" t="s">
        <v>66</v>
      </c>
      <c r="H9" s="97"/>
      <c r="I9" s="96"/>
      <c r="J9" s="96"/>
      <c r="K9" s="97"/>
      <c r="L9" s="100"/>
      <c r="M9" s="87"/>
      <c r="O9" s="301" t="str">
        <f>F5</f>
        <v>Fractions:</v>
      </c>
      <c r="P9" s="306" t="str">
        <f>H5</f>
        <v>??</v>
      </c>
    </row>
    <row r="10" spans="2:16" ht="13.5" thickBot="1" x14ac:dyDescent="0.25">
      <c r="B10" s="89"/>
      <c r="C10" s="90" t="s">
        <v>7</v>
      </c>
      <c r="D10" s="90"/>
      <c r="E10" s="90"/>
      <c r="F10" s="91"/>
      <c r="G10" s="323" t="s">
        <v>66</v>
      </c>
      <c r="H10" s="91"/>
      <c r="I10" s="90"/>
      <c r="J10" s="90"/>
      <c r="K10" s="91"/>
      <c r="L10" s="93"/>
      <c r="M10" s="87"/>
      <c r="O10" s="301" t="str">
        <f>C7</f>
        <v>GTV Volume (cc)</v>
      </c>
      <c r="P10" s="306" t="str">
        <f>G7</f>
        <v>??</v>
      </c>
    </row>
    <row r="11" spans="2:16" x14ac:dyDescent="0.2">
      <c r="B11" s="101" t="s">
        <v>8</v>
      </c>
      <c r="C11" s="96"/>
      <c r="D11" s="96"/>
      <c r="E11" s="102" t="s">
        <v>42</v>
      </c>
      <c r="F11" s="103"/>
      <c r="G11" s="103"/>
      <c r="H11" s="103"/>
      <c r="I11" s="95" t="s">
        <v>37</v>
      </c>
      <c r="J11" s="96"/>
      <c r="K11" s="104" t="s">
        <v>37</v>
      </c>
      <c r="L11" s="105" t="s">
        <v>37</v>
      </c>
      <c r="M11" s="87"/>
      <c r="O11" s="301" t="str">
        <f>C8</f>
        <v>ITV Volume (cc):</v>
      </c>
      <c r="P11" s="307" t="str">
        <f>G8</f>
        <v>??</v>
      </c>
    </row>
    <row r="12" spans="2:16" x14ac:dyDescent="0.2">
      <c r="B12" s="101"/>
      <c r="C12" s="106"/>
      <c r="D12" s="107"/>
      <c r="E12" s="107"/>
      <c r="F12" s="107"/>
      <c r="G12" s="108" t="s">
        <v>178</v>
      </c>
      <c r="H12" s="109" t="s">
        <v>182</v>
      </c>
      <c r="I12" s="110" t="s">
        <v>20</v>
      </c>
      <c r="J12" s="107"/>
      <c r="K12" s="108" t="s">
        <v>19</v>
      </c>
      <c r="L12" s="111" t="s">
        <v>11</v>
      </c>
      <c r="M12" s="112" t="s">
        <v>44</v>
      </c>
      <c r="O12" s="301" t="str">
        <f>C9</f>
        <v>PTV Volume (cc)</v>
      </c>
      <c r="P12" s="308" t="str">
        <f>G9</f>
        <v>??</v>
      </c>
    </row>
    <row r="13" spans="2:16" x14ac:dyDescent="0.2">
      <c r="B13" s="101"/>
      <c r="C13" s="113"/>
      <c r="D13" s="96"/>
      <c r="E13" s="96"/>
      <c r="F13" s="97"/>
      <c r="G13" s="259" t="s">
        <v>179</v>
      </c>
      <c r="H13" s="104"/>
      <c r="I13" s="95"/>
      <c r="J13" s="96"/>
      <c r="K13" s="114" t="s">
        <v>18</v>
      </c>
      <c r="L13" s="100"/>
      <c r="M13" s="87"/>
      <c r="O13" s="301" t="str">
        <f>C10</f>
        <v>Total Lung Volume (cc)</v>
      </c>
      <c r="P13" s="307" t="str">
        <f>G10</f>
        <v>??</v>
      </c>
    </row>
    <row r="14" spans="2:16" x14ac:dyDescent="0.2">
      <c r="B14" s="101"/>
      <c r="C14" s="106" t="s">
        <v>45</v>
      </c>
      <c r="D14" s="107"/>
      <c r="E14" s="107"/>
      <c r="F14" s="115"/>
      <c r="G14" s="201" t="s">
        <v>66</v>
      </c>
      <c r="H14" s="260"/>
      <c r="I14" s="220"/>
      <c r="J14" s="107"/>
      <c r="K14" s="218" t="s">
        <v>161</v>
      </c>
      <c r="L14" s="10" t="str">
        <f>IF(G14="??","??",IF((AND((G14&gt;59.99%),(G14&lt;95.01%))),"Yes", "No"))</f>
        <v>??</v>
      </c>
      <c r="M14" s="87" t="s">
        <v>46</v>
      </c>
      <c r="O14" s="301" t="str">
        <f>C14</f>
        <v>Plan Normalization Value (%)</v>
      </c>
      <c r="P14" s="309" t="str">
        <f>G14</f>
        <v>??</v>
      </c>
    </row>
    <row r="15" spans="2:16" ht="13.5" thickBot="1" x14ac:dyDescent="0.25">
      <c r="B15" s="94"/>
      <c r="C15" s="106"/>
      <c r="D15" s="107"/>
      <c r="E15" s="107"/>
      <c r="F15" s="115"/>
      <c r="G15" s="219"/>
      <c r="H15" s="219"/>
      <c r="I15" s="155"/>
      <c r="J15" s="107"/>
      <c r="K15" s="116"/>
      <c r="L15" s="10"/>
      <c r="M15" s="87"/>
      <c r="O15" s="301"/>
      <c r="P15" s="309"/>
    </row>
    <row r="16" spans="2:16" x14ac:dyDescent="0.2">
      <c r="B16" s="99" t="s">
        <v>30</v>
      </c>
      <c r="C16" s="117"/>
      <c r="D16" s="83"/>
      <c r="E16" s="83"/>
      <c r="F16" s="118"/>
      <c r="G16" s="221"/>
      <c r="H16" s="84"/>
      <c r="I16" s="156"/>
      <c r="J16" s="83"/>
      <c r="K16" s="119"/>
      <c r="L16" s="11"/>
      <c r="M16" s="87"/>
      <c r="O16" s="301" t="str">
        <f>C17</f>
        <v>PTV- Minimum Dose</v>
      </c>
      <c r="P16" s="307" t="str">
        <f>G17</f>
        <v>??</v>
      </c>
    </row>
    <row r="17" spans="2:16" x14ac:dyDescent="0.2">
      <c r="B17" s="94"/>
      <c r="C17" s="106" t="s">
        <v>41</v>
      </c>
      <c r="D17" s="107"/>
      <c r="E17" s="107"/>
      <c r="F17" s="120"/>
      <c r="G17" s="325" t="s">
        <v>66</v>
      </c>
      <c r="H17" s="223"/>
      <c r="I17" s="155"/>
      <c r="J17" s="107"/>
      <c r="K17" s="116" t="s">
        <v>161</v>
      </c>
      <c r="L17" s="10" t="str">
        <f>IF(G17="??","??",IF((AND((G17&gt;=60%),(G17&lt;=95%))),"Yes", "No"))</f>
        <v>??</v>
      </c>
      <c r="M17" s="87"/>
      <c r="O17" s="301" t="str">
        <f>C18</f>
        <v>PTV - V100(%)</v>
      </c>
      <c r="P17" s="307" t="str">
        <f>G18</f>
        <v>??</v>
      </c>
    </row>
    <row r="18" spans="2:16" ht="13.5" thickBot="1" x14ac:dyDescent="0.25">
      <c r="B18" s="94"/>
      <c r="C18" s="113" t="s">
        <v>69</v>
      </c>
      <c r="D18" s="96"/>
      <c r="E18" s="96"/>
      <c r="F18" s="121"/>
      <c r="G18" s="199" t="s">
        <v>66</v>
      </c>
      <c r="H18" s="223"/>
      <c r="I18" s="122"/>
      <c r="J18" s="122"/>
      <c r="K18" s="123">
        <v>0.95</v>
      </c>
      <c r="L18" s="195" t="str">
        <f>IF(G18="??","??",(IF(G18&gt;=95%,"Yes","No")))</f>
        <v>??</v>
      </c>
      <c r="M18" s="88" t="s">
        <v>31</v>
      </c>
      <c r="O18" s="301" t="str">
        <f>C19</f>
        <v>PTV - V90 (%)</v>
      </c>
      <c r="P18" s="307" t="str">
        <f>G19</f>
        <v>??</v>
      </c>
    </row>
    <row r="19" spans="2:16" ht="13.5" thickBot="1" x14ac:dyDescent="0.25">
      <c r="B19" s="89"/>
      <c r="C19" s="124" t="s">
        <v>70</v>
      </c>
      <c r="D19" s="90"/>
      <c r="E19" s="90"/>
      <c r="F19" s="125"/>
      <c r="G19" s="198" t="s">
        <v>66</v>
      </c>
      <c r="H19" s="224"/>
      <c r="I19" s="126"/>
      <c r="J19" s="90"/>
      <c r="K19" s="127">
        <v>0.99</v>
      </c>
      <c r="L19" s="195" t="str">
        <f>IF(G19="??","??",(IF(G19&gt;=99%,"Yes","No")))</f>
        <v>??</v>
      </c>
      <c r="M19" s="88" t="s">
        <v>32</v>
      </c>
      <c r="O19" s="301" t="str">
        <f>CONCATENATE(C21," ",D21)</f>
        <v>Location V105% - PTV (cc) =</v>
      </c>
      <c r="P19" s="310" t="str">
        <f>G21</f>
        <v>??</v>
      </c>
    </row>
    <row r="20" spans="2:16" x14ac:dyDescent="0.2">
      <c r="B20" s="101" t="s">
        <v>39</v>
      </c>
      <c r="C20" s="96"/>
      <c r="D20" s="96"/>
      <c r="E20" s="96"/>
      <c r="F20" s="97"/>
      <c r="G20" s="128"/>
      <c r="H20" s="97"/>
      <c r="I20" s="96"/>
      <c r="J20" s="96"/>
      <c r="K20" s="129"/>
      <c r="L20" s="14"/>
      <c r="M20" s="87"/>
      <c r="O20" s="301" t="str">
        <f>CONCATENATE(C22," ",D22)</f>
        <v>Volume V100% (cc) =</v>
      </c>
      <c r="P20" s="310" t="str">
        <f>G22</f>
        <v>??</v>
      </c>
    </row>
    <row r="21" spans="2:16" ht="15.75" x14ac:dyDescent="0.3">
      <c r="B21" s="101" t="s">
        <v>37</v>
      </c>
      <c r="C21" s="130" t="s">
        <v>40</v>
      </c>
      <c r="D21" s="122" t="s">
        <v>112</v>
      </c>
      <c r="E21" s="122"/>
      <c r="F21" s="131"/>
      <c r="G21" s="326" t="s">
        <v>66</v>
      </c>
      <c r="H21" s="171" t="str">
        <f>IFERROR(G21/G9,"??")</f>
        <v>??</v>
      </c>
      <c r="I21" s="122"/>
      <c r="J21" s="122"/>
      <c r="K21" s="16" t="s">
        <v>10</v>
      </c>
      <c r="L21" s="12" t="str">
        <f>IF(G21="??","??",IF(H21&lt;15%,"Yes","No"))</f>
        <v>??</v>
      </c>
      <c r="M21" s="140" t="s">
        <v>184</v>
      </c>
      <c r="O21" s="301" t="str">
        <f>CONCATENATE(C24," ",D24)</f>
        <v>Location D³2cm (%) =</v>
      </c>
      <c r="P21" s="311" t="str">
        <f>G24</f>
        <v>??</v>
      </c>
    </row>
    <row r="22" spans="2:16" ht="16.5" thickBot="1" x14ac:dyDescent="0.35">
      <c r="B22" s="132" t="s">
        <v>37</v>
      </c>
      <c r="C22" s="133" t="s">
        <v>43</v>
      </c>
      <c r="D22" s="90" t="s">
        <v>111</v>
      </c>
      <c r="E22" s="90"/>
      <c r="F22" s="175" t="s">
        <v>37</v>
      </c>
      <c r="G22" s="327" t="s">
        <v>66</v>
      </c>
      <c r="H22" s="172" t="str">
        <f>IFERROR(G22/G9,"??")</f>
        <v>??</v>
      </c>
      <c r="I22" s="134" t="s">
        <v>37</v>
      </c>
      <c r="J22" s="90"/>
      <c r="K22" s="135" t="s">
        <v>12</v>
      </c>
      <c r="L22" s="13" t="str">
        <f>'Calculations 60Gy_8F'!K31</f>
        <v>??</v>
      </c>
      <c r="M22" s="87" t="s">
        <v>52</v>
      </c>
      <c r="O22" s="301" t="str">
        <f>CONCATENATE(C25," ",D25)</f>
        <v>Volume V50% (cc) =</v>
      </c>
      <c r="P22" s="311" t="str">
        <f>G25</f>
        <v>??</v>
      </c>
    </row>
    <row r="23" spans="2:16" x14ac:dyDescent="0.2">
      <c r="B23" s="99" t="s">
        <v>38</v>
      </c>
      <c r="C23" s="83"/>
      <c r="D23" s="83"/>
      <c r="E23" s="83"/>
      <c r="F23" s="84"/>
      <c r="G23" s="119"/>
      <c r="H23" s="84"/>
      <c r="I23" s="83"/>
      <c r="J23" s="83"/>
      <c r="K23" s="119"/>
      <c r="L23" s="11"/>
      <c r="M23" s="87"/>
      <c r="O23" s="301" t="str">
        <f>C29</f>
        <v>Mean Dose (contralateral lung)</v>
      </c>
      <c r="P23" s="311" t="str">
        <f>G29</f>
        <v>??</v>
      </c>
    </row>
    <row r="24" spans="2:16" ht="14.25" x14ac:dyDescent="0.25">
      <c r="B24" s="101" t="s">
        <v>37</v>
      </c>
      <c r="C24" s="130" t="s">
        <v>40</v>
      </c>
      <c r="D24" s="136" t="s">
        <v>49</v>
      </c>
      <c r="E24" s="122"/>
      <c r="F24" s="137"/>
      <c r="G24" s="328" t="s">
        <v>66</v>
      </c>
      <c r="H24" s="138"/>
      <c r="I24" s="139"/>
      <c r="J24" s="122"/>
      <c r="K24" s="157" t="str">
        <f ca="1">IFERROR('Calculations 60Gy_8F'!L27/100,"??")</f>
        <v>??</v>
      </c>
      <c r="L24" s="80" t="str">
        <f>'Calculations 60Gy_8F'!K33</f>
        <v>??</v>
      </c>
      <c r="M24" s="140" t="s">
        <v>185</v>
      </c>
      <c r="O24" s="301" t="str">
        <f>C30</f>
        <v>Mean Dose (Total lung)</v>
      </c>
      <c r="P24" s="311" t="str">
        <f>G30</f>
        <v>??</v>
      </c>
    </row>
    <row r="25" spans="2:16" ht="16.5" thickBot="1" x14ac:dyDescent="0.35">
      <c r="B25" s="132" t="s">
        <v>37</v>
      </c>
      <c r="C25" s="133" t="s">
        <v>43</v>
      </c>
      <c r="D25" s="261" t="s">
        <v>175</v>
      </c>
      <c r="E25" s="90"/>
      <c r="F25" s="192"/>
      <c r="G25" s="327" t="s">
        <v>66</v>
      </c>
      <c r="H25" s="141" t="str">
        <f>IFERROR(G25/G9,"??")</f>
        <v>??</v>
      </c>
      <c r="I25" s="142" t="s">
        <v>37</v>
      </c>
      <c r="J25" s="90"/>
      <c r="K25" s="158" t="str">
        <f ca="1">IFERROR('Calculations 60Gy_8F'!I27,"??")</f>
        <v>??</v>
      </c>
      <c r="L25" s="81" t="str">
        <f>'Calculations 60Gy_8F'!K32</f>
        <v>??</v>
      </c>
      <c r="M25" s="140" t="s">
        <v>186</v>
      </c>
      <c r="O25" s="301" t="str">
        <f>C31</f>
        <v>V20 (Total Lung)</v>
      </c>
      <c r="P25" s="311" t="str">
        <f>G31</f>
        <v>??</v>
      </c>
    </row>
    <row r="26" spans="2:16" x14ac:dyDescent="0.2">
      <c r="B26" s="101" t="s">
        <v>22</v>
      </c>
      <c r="C26" s="96"/>
      <c r="D26" s="96"/>
      <c r="E26" s="96"/>
      <c r="F26" s="97"/>
      <c r="G26" s="114" t="s">
        <v>176</v>
      </c>
      <c r="H26" s="104" t="s">
        <v>182</v>
      </c>
      <c r="I26" s="143"/>
      <c r="J26" s="143"/>
      <c r="K26" s="144" t="s">
        <v>34</v>
      </c>
      <c r="L26" s="145"/>
      <c r="M26" s="87"/>
      <c r="O26" s="301" t="str">
        <f>CONCATENATE(C33," ",F33)</f>
        <v>Aorta  (max point dose)</v>
      </c>
      <c r="P26" s="311" t="str">
        <f>G33</f>
        <v>??</v>
      </c>
    </row>
    <row r="27" spans="2:16" ht="13.5" thickBot="1" x14ac:dyDescent="0.25">
      <c r="B27" s="101" t="s">
        <v>37</v>
      </c>
      <c r="C27" s="96"/>
      <c r="D27" s="96"/>
      <c r="E27" s="96"/>
      <c r="F27" s="97"/>
      <c r="G27" s="114" t="s">
        <v>177</v>
      </c>
      <c r="H27" s="104"/>
      <c r="I27" s="143"/>
      <c r="J27" s="143"/>
      <c r="K27" s="202" t="s">
        <v>174</v>
      </c>
      <c r="L27" s="145"/>
      <c r="M27" s="87"/>
      <c r="O27" s="301" t="str">
        <f>CONCATENATE(C33," ",F34)</f>
        <v>Aorta  V60Gy=</v>
      </c>
      <c r="P27" s="311" t="str">
        <f t="shared" ref="P27:P37" si="0">G34</f>
        <v>??</v>
      </c>
    </row>
    <row r="28" spans="2:16" x14ac:dyDescent="0.2">
      <c r="B28" s="101" t="s">
        <v>37</v>
      </c>
      <c r="C28" s="99" t="s">
        <v>24</v>
      </c>
      <c r="D28" s="83"/>
      <c r="E28" s="83"/>
      <c r="F28" s="84"/>
      <c r="G28" s="119"/>
      <c r="H28" s="84"/>
      <c r="I28" s="83"/>
      <c r="J28" s="83"/>
      <c r="K28" s="119"/>
      <c r="L28" s="11"/>
      <c r="M28" s="87"/>
      <c r="O28" s="301" t="str">
        <f>CONCATENATE(C35," ",F35)</f>
        <v>Artery-Pulmonary (max point dose)</v>
      </c>
      <c r="P28" s="311" t="str">
        <f t="shared" si="0"/>
        <v>??</v>
      </c>
    </row>
    <row r="29" spans="2:16" x14ac:dyDescent="0.2">
      <c r="B29" s="94"/>
      <c r="C29" s="94" t="s">
        <v>25</v>
      </c>
      <c r="D29" s="96"/>
      <c r="E29" s="96"/>
      <c r="F29" s="97"/>
      <c r="G29" s="317" t="s">
        <v>66</v>
      </c>
      <c r="H29" s="131"/>
      <c r="I29" s="122"/>
      <c r="J29" s="122"/>
      <c r="K29" s="16"/>
      <c r="L29" s="12" t="s">
        <v>66</v>
      </c>
      <c r="M29" s="87"/>
      <c r="O29" s="301" t="str">
        <f>CONCATENATE(C35," ",F36)</f>
        <v>Artery-Pulmonary V60Gy=</v>
      </c>
      <c r="P29" s="311" t="str">
        <f t="shared" si="0"/>
        <v>??</v>
      </c>
    </row>
    <row r="30" spans="2:16" x14ac:dyDescent="0.2">
      <c r="B30" s="94"/>
      <c r="C30" s="94" t="s">
        <v>26</v>
      </c>
      <c r="D30" s="96"/>
      <c r="E30" s="96"/>
      <c r="F30" s="97"/>
      <c r="G30" s="329" t="s">
        <v>66</v>
      </c>
      <c r="H30" s="146"/>
      <c r="I30" s="147"/>
      <c r="J30" s="147"/>
      <c r="K30" s="148"/>
      <c r="L30" s="203" t="s">
        <v>66</v>
      </c>
      <c r="M30" s="87"/>
      <c r="O30" s="301" t="str">
        <f>CONCATENATE(C37," ",F37)</f>
        <v>Spinal Canal (max point dose)</v>
      </c>
      <c r="P30" s="311" t="str">
        <f t="shared" si="0"/>
        <v>??</v>
      </c>
    </row>
    <row r="31" spans="2:16" ht="15" thickBot="1" x14ac:dyDescent="0.3">
      <c r="B31" s="94"/>
      <c r="C31" s="89" t="s">
        <v>27</v>
      </c>
      <c r="D31" s="90"/>
      <c r="E31" s="347" t="s">
        <v>170</v>
      </c>
      <c r="F31" s="348"/>
      <c r="G31" s="198" t="s">
        <v>66</v>
      </c>
      <c r="H31" s="189" t="s">
        <v>37</v>
      </c>
      <c r="I31" s="187"/>
      <c r="J31" s="187"/>
      <c r="K31" s="188" t="s">
        <v>68</v>
      </c>
      <c r="L31" s="195" t="str">
        <f>'Calculations 60Gy_8F'!K34</f>
        <v>??</v>
      </c>
      <c r="M31" s="87" t="s">
        <v>51</v>
      </c>
      <c r="O31" s="301" t="str">
        <f>CONCATENATE(C38," ",F38)</f>
        <v>Ipsilat. Brach. Plex. (max point dose)</v>
      </c>
      <c r="P31" s="311" t="str">
        <f t="shared" si="0"/>
        <v>??</v>
      </c>
    </row>
    <row r="32" spans="2:16" x14ac:dyDescent="0.2">
      <c r="B32" s="101" t="s">
        <v>37</v>
      </c>
      <c r="C32" s="101" t="s">
        <v>50</v>
      </c>
      <c r="D32" s="96"/>
      <c r="E32" s="96"/>
      <c r="F32" s="97"/>
      <c r="G32" s="128"/>
      <c r="H32" s="97"/>
      <c r="I32" s="96"/>
      <c r="J32" s="96"/>
      <c r="K32" s="128"/>
      <c r="L32" s="100"/>
      <c r="M32" s="87"/>
      <c r="O32" s="301" t="str">
        <f>CONCATENATE(C38," ",F39)</f>
        <v>Ipsilat. Brach. Plex. V30Gy=</v>
      </c>
      <c r="P32" s="311" t="str">
        <f t="shared" si="0"/>
        <v>??</v>
      </c>
    </row>
    <row r="33" spans="1:16" x14ac:dyDescent="0.2">
      <c r="B33" s="94"/>
      <c r="C33" s="205" t="s">
        <v>129</v>
      </c>
      <c r="D33" s="107" t="s">
        <v>37</v>
      </c>
      <c r="E33" s="122"/>
      <c r="F33" s="179" t="s">
        <v>60</v>
      </c>
      <c r="G33" s="330" t="s">
        <v>66</v>
      </c>
      <c r="H33" s="115"/>
      <c r="I33" s="107"/>
      <c r="J33" s="107"/>
      <c r="K33" s="108">
        <v>6400</v>
      </c>
      <c r="L33" s="194" t="str">
        <f>IF(G33="??","??",IF(G33&lt;=6400,"Yes","No"))</f>
        <v>??</v>
      </c>
      <c r="M33" s="140" t="s">
        <v>163</v>
      </c>
      <c r="O33" s="301" t="str">
        <f>CONCATENATE(C40," ",F40)</f>
        <v>Heart (max point dose)</v>
      </c>
      <c r="P33" s="311" t="str">
        <f t="shared" si="0"/>
        <v>??</v>
      </c>
    </row>
    <row r="34" spans="1:16" ht="14.25" x14ac:dyDescent="0.25">
      <c r="B34" s="94"/>
      <c r="C34" s="235"/>
      <c r="D34" s="236" t="s">
        <v>148</v>
      </c>
      <c r="E34" s="147"/>
      <c r="F34" s="262" t="s">
        <v>149</v>
      </c>
      <c r="G34" s="331" t="s">
        <v>66</v>
      </c>
      <c r="H34" s="115"/>
      <c r="I34" s="107"/>
      <c r="J34" s="107"/>
      <c r="K34" s="108">
        <v>10</v>
      </c>
      <c r="L34" s="194" t="str">
        <f>IF(G34="??","??",IF(G34&lt;=10,"Yes",IF(G34="OK","Yes","No")))</f>
        <v>??</v>
      </c>
      <c r="M34" s="87"/>
      <c r="O34" s="301" t="str">
        <f>CONCATENATE(C40," ",F41)</f>
        <v>Heart V60Gy=</v>
      </c>
      <c r="P34" s="311" t="str">
        <f t="shared" si="0"/>
        <v>??</v>
      </c>
    </row>
    <row r="35" spans="1:16" x14ac:dyDescent="0.2">
      <c r="B35" s="94"/>
      <c r="C35" s="205" t="s">
        <v>166</v>
      </c>
      <c r="D35" s="107"/>
      <c r="E35" s="122"/>
      <c r="F35" s="179" t="s">
        <v>60</v>
      </c>
      <c r="G35" s="330" t="s">
        <v>66</v>
      </c>
      <c r="H35" s="115"/>
      <c r="I35" s="107"/>
      <c r="J35" s="107"/>
      <c r="K35" s="108">
        <v>6400</v>
      </c>
      <c r="L35" s="194" t="str">
        <f>IF(G35="??","??",IF(G35&lt;=6400,"Yes","No"))</f>
        <v>??</v>
      </c>
      <c r="M35" s="140" t="s">
        <v>163</v>
      </c>
      <c r="O35" s="301" t="str">
        <f>CONCATENATE(C42," ",F42)</f>
        <v>Esophagus (max point dose)</v>
      </c>
      <c r="P35" s="311" t="str">
        <f t="shared" si="0"/>
        <v>??</v>
      </c>
    </row>
    <row r="36" spans="1:16" ht="14.25" x14ac:dyDescent="0.25">
      <c r="B36" s="94"/>
      <c r="C36" s="235"/>
      <c r="D36" s="236" t="s">
        <v>148</v>
      </c>
      <c r="E36" s="147"/>
      <c r="F36" s="262" t="s">
        <v>149</v>
      </c>
      <c r="G36" s="331" t="s">
        <v>66</v>
      </c>
      <c r="H36" s="115"/>
      <c r="I36" s="107"/>
      <c r="J36" s="107"/>
      <c r="K36" s="108">
        <v>10</v>
      </c>
      <c r="L36" s="194" t="str">
        <f>IF(G36="??","??",IF(G36&lt;=10,"Yes",IF(G36="OK","Yes","No")))</f>
        <v>??</v>
      </c>
      <c r="M36" s="87"/>
      <c r="O36" s="301" t="str">
        <f>CONCATENATE(C43," ",F43)</f>
        <v>Chestwall (rib) (max point dose)</v>
      </c>
      <c r="P36" s="311" t="str">
        <f t="shared" si="0"/>
        <v>??</v>
      </c>
    </row>
    <row r="37" spans="1:16" x14ac:dyDescent="0.2">
      <c r="B37" s="94"/>
      <c r="C37" s="94" t="s">
        <v>15</v>
      </c>
      <c r="D37" s="96"/>
      <c r="E37" s="177"/>
      <c r="F37" s="150" t="s">
        <v>60</v>
      </c>
      <c r="G37" s="332" t="s">
        <v>66</v>
      </c>
      <c r="H37" s="115"/>
      <c r="I37" s="107"/>
      <c r="J37" s="107"/>
      <c r="K37" s="116">
        <v>3200</v>
      </c>
      <c r="L37" s="194" t="str">
        <f>IF(G37="??","??",IF(G37&lt;=3200,"Yes","No"))</f>
        <v>??</v>
      </c>
      <c r="M37" s="87" t="s">
        <v>28</v>
      </c>
      <c r="O37" s="301" t="str">
        <f>CONCATENATE(C43," ",F44)</f>
        <v>Chestwall (rib) V50Gy=</v>
      </c>
      <c r="P37" s="311" t="str">
        <f t="shared" si="0"/>
        <v>??</v>
      </c>
    </row>
    <row r="38" spans="1:16" x14ac:dyDescent="0.2">
      <c r="B38" s="94"/>
      <c r="C38" s="205" t="s">
        <v>183</v>
      </c>
      <c r="D38" s="107"/>
      <c r="E38" s="122"/>
      <c r="F38" s="179" t="s">
        <v>60</v>
      </c>
      <c r="G38" s="169" t="s">
        <v>66</v>
      </c>
      <c r="H38" s="115"/>
      <c r="I38" s="107"/>
      <c r="J38" s="107"/>
      <c r="K38" s="116">
        <v>3800</v>
      </c>
      <c r="L38" s="194" t="str">
        <f>IF(G38="??","??",IF(G38&lt;=3800,"Yes","No"))</f>
        <v>??</v>
      </c>
      <c r="M38" s="140" t="s">
        <v>163</v>
      </c>
      <c r="O38" s="301" t="str">
        <f>CONCATENATE(A44," ",F45)</f>
        <v>Trachea (max point dose)</v>
      </c>
      <c r="P38" s="312" t="str">
        <f>A45</f>
        <v>??</v>
      </c>
    </row>
    <row r="39" spans="1:16" ht="14.25" x14ac:dyDescent="0.25">
      <c r="B39" s="94"/>
      <c r="C39" s="178"/>
      <c r="D39" s="236" t="s">
        <v>200</v>
      </c>
      <c r="E39" s="147"/>
      <c r="F39" s="263" t="s">
        <v>118</v>
      </c>
      <c r="G39" s="4" t="s">
        <v>66</v>
      </c>
      <c r="H39" s="115"/>
      <c r="I39" s="107"/>
      <c r="J39" s="107"/>
      <c r="K39" s="116">
        <v>3</v>
      </c>
      <c r="L39" s="194" t="str">
        <f>IF(G39="??","??",IF(G39&lt;=3,"Yes",IF(G39="OK","Yes","No")))</f>
        <v>??</v>
      </c>
      <c r="M39" s="140"/>
      <c r="O39" s="301" t="str">
        <f>CONCATENATE(A44," ",F46)</f>
        <v>Trachea V60Gy =</v>
      </c>
      <c r="P39" s="312" t="str">
        <f>A46</f>
        <v>??</v>
      </c>
    </row>
    <row r="40" spans="1:16" x14ac:dyDescent="0.2">
      <c r="B40" s="94"/>
      <c r="C40" s="151" t="s">
        <v>17</v>
      </c>
      <c r="D40" s="107"/>
      <c r="E40" s="122"/>
      <c r="F40" s="180" t="s">
        <v>60</v>
      </c>
      <c r="G40" s="332" t="s">
        <v>66</v>
      </c>
      <c r="H40" s="115"/>
      <c r="I40" s="107"/>
      <c r="J40" s="107"/>
      <c r="K40" s="116">
        <v>6400</v>
      </c>
      <c r="L40" s="194" t="str">
        <f>IF(G40="??","??",IF(G40&lt;=6400,"Yes","No"))</f>
        <v>??</v>
      </c>
      <c r="M40" s="87" t="s">
        <v>28</v>
      </c>
      <c r="O40" s="301" t="str">
        <f>CONCATENATE(B44," ",F45)</f>
        <v>Bronchus (max point dose)</v>
      </c>
      <c r="P40" s="312" t="str">
        <f>B45</f>
        <v>??</v>
      </c>
    </row>
    <row r="41" spans="1:16" ht="14.25" x14ac:dyDescent="0.25">
      <c r="B41" s="94"/>
      <c r="C41" s="235"/>
      <c r="D41" s="236" t="s">
        <v>148</v>
      </c>
      <c r="E41" s="147"/>
      <c r="F41" s="262" t="s">
        <v>149</v>
      </c>
      <c r="G41" s="331" t="s">
        <v>66</v>
      </c>
      <c r="H41" s="115"/>
      <c r="I41" s="107"/>
      <c r="J41" s="107"/>
      <c r="K41" s="108">
        <v>10</v>
      </c>
      <c r="L41" s="194" t="str">
        <f>IF(G41="??","??",IF(G41&lt;=10,"Yes",IF(G41="OK","Yes","No")))</f>
        <v>??</v>
      </c>
      <c r="M41" s="140" t="s">
        <v>163</v>
      </c>
      <c r="O41" s="301" t="str">
        <f>CONCATENATE(B44," ",F48)</f>
        <v>Bronchus V36Gy=</v>
      </c>
      <c r="P41" s="312" t="str">
        <f>B46</f>
        <v>??</v>
      </c>
    </row>
    <row r="42" spans="1:16" x14ac:dyDescent="0.2">
      <c r="B42" s="94"/>
      <c r="C42" s="151" t="s">
        <v>13</v>
      </c>
      <c r="D42" s="107"/>
      <c r="E42" s="107"/>
      <c r="F42" s="149" t="s">
        <v>60</v>
      </c>
      <c r="G42" s="332" t="s">
        <v>66</v>
      </c>
      <c r="H42" s="115"/>
      <c r="I42" s="107"/>
      <c r="J42" s="107"/>
      <c r="K42" s="116">
        <v>4000</v>
      </c>
      <c r="L42" s="194" t="str">
        <f>IF(G42="??","??",IF(G42&lt;=4000,"Yes","No"))</f>
        <v>??</v>
      </c>
      <c r="M42" s="140" t="s">
        <v>163</v>
      </c>
      <c r="O42" s="301" t="str">
        <f>CONCATENATE(C45," ",C46," ",F45)</f>
        <v>Proximal Trachea &amp; Bronch. Tree:  (max point dose)</v>
      </c>
      <c r="P42" s="311" t="str">
        <f>G45</f>
        <v>??</v>
      </c>
    </row>
    <row r="43" spans="1:16" ht="13.5" thickBot="1" x14ac:dyDescent="0.25">
      <c r="B43" s="94"/>
      <c r="C43" s="151" t="s">
        <v>67</v>
      </c>
      <c r="D43" s="107"/>
      <c r="E43" s="122"/>
      <c r="F43" s="180" t="s">
        <v>60</v>
      </c>
      <c r="G43" s="332" t="s">
        <v>66</v>
      </c>
      <c r="H43" s="115"/>
      <c r="I43" s="107"/>
      <c r="J43" s="107"/>
      <c r="K43" s="116">
        <v>6000</v>
      </c>
      <c r="L43" s="194" t="str">
        <f>IF(G43="??","??",IF(G43&lt;=6000,"Yes","No"))</f>
        <v>??</v>
      </c>
      <c r="M43" s="140" t="s">
        <v>163</v>
      </c>
      <c r="O43" s="301" t="str">
        <f>CONCATENATE(C45," ",C46," ",F46)</f>
        <v>Proximal Trachea &amp; Bronch. Tree:  V60Gy =</v>
      </c>
      <c r="P43" s="311" t="str">
        <f>G46</f>
        <v>??</v>
      </c>
    </row>
    <row r="44" spans="1:16" ht="15" thickBot="1" x14ac:dyDescent="0.3">
      <c r="A44" s="294" t="s">
        <v>203</v>
      </c>
      <c r="B44" s="295" t="s">
        <v>204</v>
      </c>
      <c r="C44" s="94"/>
      <c r="D44" s="143" t="s">
        <v>164</v>
      </c>
      <c r="E44" s="147"/>
      <c r="F44" s="262" t="s">
        <v>165</v>
      </c>
      <c r="G44" s="331" t="s">
        <v>66</v>
      </c>
      <c r="H44" s="115"/>
      <c r="I44" s="107"/>
      <c r="J44" s="107"/>
      <c r="K44" s="108">
        <v>5</v>
      </c>
      <c r="L44" s="194" t="str">
        <f>IF(G44="??","??",IF(G44&lt;=5,"Yes",IF(G44="OK","Yes","No")))</f>
        <v>??</v>
      </c>
      <c r="M44" s="140" t="s">
        <v>163</v>
      </c>
      <c r="O44" s="301" t="str">
        <f>CONCATENATE(C47," ",C48," ",F47)</f>
        <v>Stomach and  Intestines (max point dose)</v>
      </c>
      <c r="P44" s="311" t="str">
        <f>G47</f>
        <v>??</v>
      </c>
    </row>
    <row r="45" spans="1:16" x14ac:dyDescent="0.2">
      <c r="A45" s="333" t="s">
        <v>66</v>
      </c>
      <c r="B45" s="334" t="s">
        <v>66</v>
      </c>
      <c r="C45" s="151" t="s">
        <v>16</v>
      </c>
      <c r="D45" s="291"/>
      <c r="E45" s="107"/>
      <c r="F45" s="149" t="s">
        <v>60</v>
      </c>
      <c r="G45" s="197" t="s">
        <v>66</v>
      </c>
      <c r="H45" s="292" t="s">
        <v>37</v>
      </c>
      <c r="I45" s="122"/>
      <c r="J45" s="122"/>
      <c r="K45" s="16">
        <v>6400</v>
      </c>
      <c r="L45" s="194" t="str">
        <f>IF(G45="??","??",IF(G45&lt;=6400,"Yes","No"))</f>
        <v>??</v>
      </c>
      <c r="M45" s="87" t="s">
        <v>28</v>
      </c>
      <c r="O45" s="301" t="str">
        <f>CONCATENATE(C47," ",C48," ",F48)</f>
        <v>Stomach and  Intestines V36Gy=</v>
      </c>
      <c r="P45" s="311" t="str">
        <f>G48</f>
        <v>??</v>
      </c>
    </row>
    <row r="46" spans="1:16" ht="15" thickBot="1" x14ac:dyDescent="0.3">
      <c r="A46" s="335" t="s">
        <v>66</v>
      </c>
      <c r="B46" s="336" t="s">
        <v>66</v>
      </c>
      <c r="C46" s="193" t="s">
        <v>205</v>
      </c>
      <c r="D46" s="143" t="s">
        <v>206</v>
      </c>
      <c r="E46" s="96"/>
      <c r="F46" s="98" t="s">
        <v>173</v>
      </c>
      <c r="G46" s="197" t="s">
        <v>66</v>
      </c>
      <c r="H46" s="293" t="s">
        <v>37</v>
      </c>
      <c r="I46" s="96"/>
      <c r="J46" s="96"/>
      <c r="K46" s="116">
        <v>5</v>
      </c>
      <c r="L46" s="194" t="str">
        <f>IF(G46="??","??",IF(G46&lt;=5,"Yes",IF(G46="OK","Yes","No")))</f>
        <v>??</v>
      </c>
      <c r="M46" s="140" t="s">
        <v>163</v>
      </c>
      <c r="O46" s="301" t="str">
        <f>C49</f>
        <v>Dosimetrist:</v>
      </c>
      <c r="P46" s="305" t="str">
        <f>C50</f>
        <v>??</v>
      </c>
    </row>
    <row r="47" spans="1:16" x14ac:dyDescent="0.2">
      <c r="B47" s="94"/>
      <c r="C47" s="151" t="s">
        <v>134</v>
      </c>
      <c r="D47" s="107"/>
      <c r="E47" s="122"/>
      <c r="F47" s="149" t="s">
        <v>60</v>
      </c>
      <c r="G47" s="197" t="s">
        <v>66</v>
      </c>
      <c r="H47" s="131"/>
      <c r="I47" s="122"/>
      <c r="J47" s="122"/>
      <c r="K47" s="16">
        <v>4000</v>
      </c>
      <c r="L47" s="194" t="str">
        <f>IF(G47="??","??",IF(G47&lt;=4000,"Yes","No"))</f>
        <v>??</v>
      </c>
      <c r="M47" s="140" t="s">
        <v>163</v>
      </c>
      <c r="O47" s="301" t="str">
        <f>G49</f>
        <v>Physicist:</v>
      </c>
      <c r="P47" s="305" t="str">
        <f>G50</f>
        <v>??</v>
      </c>
    </row>
    <row r="48" spans="1:16" ht="15" thickBot="1" x14ac:dyDescent="0.3">
      <c r="B48" s="94"/>
      <c r="C48" s="89" t="s">
        <v>135</v>
      </c>
      <c r="D48" s="228" t="s">
        <v>201</v>
      </c>
      <c r="E48" s="90" t="s">
        <v>37</v>
      </c>
      <c r="F48" s="264" t="s">
        <v>128</v>
      </c>
      <c r="G48" s="196" t="s">
        <v>66</v>
      </c>
      <c r="H48" s="91"/>
      <c r="I48" s="90"/>
      <c r="J48" s="90"/>
      <c r="K48" s="135">
        <v>1</v>
      </c>
      <c r="L48" s="195" t="str">
        <f>IF(G48="??","??",IF(G48&lt;=1,"Yes",IF(G48="OK","Yes","No")))</f>
        <v>??</v>
      </c>
      <c r="M48" s="140" t="s">
        <v>163</v>
      </c>
      <c r="O48" s="301" t="str">
        <f>K49</f>
        <v>Radiation Oncologist:</v>
      </c>
      <c r="P48" s="305" t="str">
        <f>K50</f>
        <v>??</v>
      </c>
    </row>
    <row r="49" spans="2:16" x14ac:dyDescent="0.2">
      <c r="B49" s="94"/>
      <c r="C49" s="95" t="s">
        <v>55</v>
      </c>
      <c r="D49" s="96"/>
      <c r="E49" s="96"/>
      <c r="F49" s="97"/>
      <c r="G49" s="98" t="s">
        <v>56</v>
      </c>
      <c r="H49" s="97"/>
      <c r="I49" s="96"/>
      <c r="J49" s="95" t="s">
        <v>57</v>
      </c>
      <c r="K49" s="85" t="s">
        <v>57</v>
      </c>
      <c r="L49" s="100"/>
      <c r="M49" s="87"/>
      <c r="O49" s="301" t="str">
        <f>B51</f>
        <v>NOTES:</v>
      </c>
      <c r="P49" s="305">
        <f>C51</f>
        <v>0</v>
      </c>
    </row>
    <row r="50" spans="2:16" x14ac:dyDescent="0.2">
      <c r="B50" s="94"/>
      <c r="C50" s="22" t="s">
        <v>66</v>
      </c>
      <c r="D50" s="96"/>
      <c r="E50" s="96"/>
      <c r="F50" s="97"/>
      <c r="G50" s="22" t="s">
        <v>66</v>
      </c>
      <c r="H50" s="97"/>
      <c r="I50" s="96"/>
      <c r="J50" s="96"/>
      <c r="K50" s="22" t="s">
        <v>66</v>
      </c>
      <c r="L50" s="100"/>
      <c r="M50" s="87"/>
      <c r="P50" s="313"/>
    </row>
    <row r="51" spans="2:16" x14ac:dyDescent="0.2">
      <c r="B51" s="101" t="s">
        <v>138</v>
      </c>
      <c r="C51" s="21"/>
      <c r="D51" s="21"/>
      <c r="E51" s="21"/>
      <c r="F51" s="22"/>
      <c r="G51" s="22"/>
      <c r="H51" s="22"/>
      <c r="I51" s="21"/>
      <c r="J51" s="21"/>
      <c r="K51" s="22"/>
      <c r="L51" s="17"/>
      <c r="M51" s="87"/>
      <c r="P51" s="313"/>
    </row>
    <row r="52" spans="2:16" ht="13.5" thickBot="1" x14ac:dyDescent="0.25">
      <c r="B52" s="89"/>
      <c r="C52" s="265"/>
      <c r="D52" s="265"/>
      <c r="E52" s="265"/>
      <c r="F52" s="266"/>
      <c r="G52" s="266"/>
      <c r="H52" s="267" t="s">
        <v>37</v>
      </c>
      <c r="I52" s="265"/>
      <c r="J52" s="265"/>
      <c r="K52" s="266"/>
      <c r="L52" s="268"/>
      <c r="M52" s="87"/>
      <c r="P52" s="313"/>
    </row>
    <row r="53" spans="2:16" x14ac:dyDescent="0.2">
      <c r="B53" s="153" t="s">
        <v>160</v>
      </c>
      <c r="C53" s="88"/>
      <c r="D53" s="88"/>
      <c r="E53" s="88"/>
      <c r="F53" s="154"/>
      <c r="G53" s="154"/>
      <c r="H53" s="154"/>
      <c r="I53" s="88"/>
      <c r="J53" s="88"/>
      <c r="K53" s="154"/>
      <c r="L53" s="154"/>
      <c r="M53" s="87"/>
      <c r="P53" s="313"/>
    </row>
    <row r="54" spans="2:16" x14ac:dyDescent="0.2">
      <c r="B54" s="88"/>
      <c r="C54" s="88"/>
      <c r="D54" s="88"/>
      <c r="E54" s="88"/>
      <c r="F54" s="154"/>
      <c r="G54" s="154"/>
      <c r="H54" s="154"/>
      <c r="I54" s="88"/>
      <c r="J54" s="88"/>
      <c r="K54" s="154"/>
      <c r="L54" s="154"/>
      <c r="M54" s="87"/>
      <c r="P54" s="313"/>
    </row>
    <row r="55" spans="2:16" x14ac:dyDescent="0.2">
      <c r="B55" s="88"/>
      <c r="C55" s="88"/>
      <c r="D55" s="88"/>
      <c r="E55" s="88"/>
      <c r="F55" s="154"/>
      <c r="G55" s="154"/>
      <c r="H55" s="154"/>
      <c r="I55" s="88"/>
      <c r="J55" s="88"/>
      <c r="K55" s="154"/>
      <c r="L55" s="154"/>
      <c r="M55" s="87"/>
      <c r="P55" s="313"/>
    </row>
    <row r="56" spans="2:16" x14ac:dyDescent="0.2">
      <c r="B56" s="88"/>
      <c r="C56" s="88"/>
      <c r="D56" s="88"/>
      <c r="E56" s="88"/>
      <c r="F56" s="154"/>
      <c r="G56" s="154"/>
      <c r="H56" s="154"/>
      <c r="I56" s="88"/>
      <c r="J56" s="88"/>
      <c r="K56" s="154"/>
      <c r="L56" s="154"/>
      <c r="M56" s="87"/>
      <c r="P56" s="313"/>
    </row>
    <row r="57" spans="2:16" x14ac:dyDescent="0.2">
      <c r="M57" s="87"/>
      <c r="P57" s="313"/>
    </row>
    <row r="58" spans="2:16" x14ac:dyDescent="0.2">
      <c r="P58" s="313"/>
    </row>
    <row r="59" spans="2:16" x14ac:dyDescent="0.2">
      <c r="P59" s="313"/>
    </row>
    <row r="60" spans="2:16" x14ac:dyDescent="0.2">
      <c r="P60" s="313"/>
    </row>
  </sheetData>
  <sheetProtection formatCells="0" formatColumns="0" formatRows="0"/>
  <mergeCells count="1">
    <mergeCell ref="E31:F31"/>
  </mergeCells>
  <phoneticPr fontId="2" type="noConversion"/>
  <conditionalFormatting sqref="L33:L48">
    <cfRule type="containsText" dxfId="9" priority="12" stopIfTrue="1" operator="containsText" text="No">
      <formula>NOT(ISERROR(SEARCH("No",L33)))</formula>
    </cfRule>
  </conditionalFormatting>
  <conditionalFormatting sqref="L20:L30">
    <cfRule type="containsText" dxfId="8" priority="10" stopIfTrue="1" operator="containsText" text="No">
      <formula>NOT(ISERROR(SEARCH("No",L20)))</formula>
    </cfRule>
    <cfRule type="containsText" dxfId="7" priority="11" stopIfTrue="1" operator="containsText" text="Major">
      <formula>NOT(ISERROR(SEARCH("Major",L20)))</formula>
    </cfRule>
  </conditionalFormatting>
  <conditionalFormatting sqref="L20:L25">
    <cfRule type="containsText" dxfId="6" priority="7" stopIfTrue="1" operator="containsText" text="Minor">
      <formula>NOT(ISERROR(SEARCH("Minor",L20)))</formula>
    </cfRule>
  </conditionalFormatting>
  <conditionalFormatting sqref="L31">
    <cfRule type="containsText" dxfId="5" priority="1" stopIfTrue="1" operator="containsText" text="Minor">
      <formula>NOT(ISERROR(SEARCH("Minor",L31)))</formula>
    </cfRule>
    <cfRule type="containsText" dxfId="4" priority="2" stopIfTrue="1" operator="containsText" text="Major">
      <formula>NOT(ISERROR(SEARCH("Major",L31)))</formula>
    </cfRule>
    <cfRule type="containsText" dxfId="3" priority="6" stopIfTrue="1" operator="containsText" text="No">
      <formula>NOT(ISERROR(SEARCH("No",L31)))</formula>
    </cfRule>
  </conditionalFormatting>
  <conditionalFormatting sqref="L14:L19">
    <cfRule type="containsText" dxfId="2" priority="3" stopIfTrue="1" operator="containsText" text="Minor">
      <formula>NOT(ISERROR(SEARCH("Minor",L14)))</formula>
    </cfRule>
    <cfRule type="containsText" dxfId="1" priority="4" stopIfTrue="1" operator="containsText" text="No">
      <formula>NOT(ISERROR(SEARCH("No",L14)))</formula>
    </cfRule>
    <cfRule type="containsText" dxfId="0" priority="5" stopIfTrue="1" operator="containsText" text="Major">
      <formula>NOT(ISERROR(SEARCH("Major",L14)))</formula>
    </cfRule>
  </conditionalFormatting>
  <pageMargins left="0.75" right="0.75" top="1" bottom="1" header="0.5" footer="0.5"/>
  <pageSetup scale="7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P55"/>
  <sheetViews>
    <sheetView tabSelected="1" zoomScaleNormal="100" workbookViewId="0">
      <selection activeCell="G18" sqref="G18"/>
    </sheetView>
  </sheetViews>
  <sheetFormatPr defaultRowHeight="12.75" x14ac:dyDescent="0.2"/>
  <cols>
    <col min="1" max="1" width="6.85546875" customWidth="1"/>
    <col min="2" max="2" width="7.5703125" customWidth="1"/>
    <col min="3" max="3" width="10" customWidth="1"/>
    <col min="4" max="4" width="11.7109375" customWidth="1"/>
    <col min="5" max="5" width="3.85546875" customWidth="1"/>
    <col min="6" max="6" width="8.7109375" style="1" customWidth="1"/>
    <col min="7" max="7" width="17.7109375" style="1" customWidth="1"/>
    <col min="8" max="8" width="13.85546875" style="1" customWidth="1"/>
    <col min="9" max="9" width="7.7109375" customWidth="1"/>
    <col min="10" max="10" width="3.140625" customWidth="1"/>
    <col min="11" max="11" width="13.85546875" style="1" customWidth="1"/>
    <col min="12" max="12" width="15.5703125" style="1" customWidth="1"/>
    <col min="13" max="13" width="14" style="2" customWidth="1"/>
    <col min="15" max="15" width="52.42578125" style="299" bestFit="1" customWidth="1"/>
    <col min="16" max="16" width="8.7109375" style="302" customWidth="1"/>
  </cols>
  <sheetData>
    <row r="1" spans="2:16" ht="13.5" thickBot="1" x14ac:dyDescent="0.25">
      <c r="B1" s="206" t="s">
        <v>156</v>
      </c>
      <c r="C1" s="207"/>
      <c r="D1" s="206"/>
      <c r="E1" s="207"/>
      <c r="F1" s="208"/>
      <c r="G1" s="208"/>
      <c r="H1" s="209" t="s">
        <v>155</v>
      </c>
      <c r="I1" s="206"/>
      <c r="J1" s="206"/>
      <c r="K1" s="210"/>
      <c r="L1" s="210"/>
      <c r="M1" s="87"/>
      <c r="O1" s="298"/>
    </row>
    <row r="2" spans="2:16" x14ac:dyDescent="0.2">
      <c r="B2" s="82"/>
      <c r="C2" s="83"/>
      <c r="D2" s="83"/>
      <c r="E2" s="83"/>
      <c r="F2" s="84"/>
      <c r="G2" s="85" t="s">
        <v>139</v>
      </c>
      <c r="H2" s="84"/>
      <c r="I2" s="83"/>
      <c r="J2" s="83"/>
      <c r="K2" s="84"/>
      <c r="L2" s="86"/>
      <c r="M2" s="87"/>
      <c r="O2" s="298"/>
    </row>
    <row r="3" spans="2:16" ht="13.5" thickBot="1" x14ac:dyDescent="0.25">
      <c r="B3" s="89"/>
      <c r="C3" s="90"/>
      <c r="D3" s="90"/>
      <c r="E3" s="90"/>
      <c r="F3" s="91"/>
      <c r="G3" s="92" t="s">
        <v>36</v>
      </c>
      <c r="H3" s="91"/>
      <c r="I3" s="90"/>
      <c r="J3" s="90"/>
      <c r="K3" s="91"/>
      <c r="L3" s="93"/>
      <c r="M3" s="87"/>
      <c r="O3" s="298"/>
    </row>
    <row r="4" spans="2:16" x14ac:dyDescent="0.2">
      <c r="B4" s="94"/>
      <c r="C4" s="95" t="s">
        <v>0</v>
      </c>
      <c r="D4" s="19" t="s">
        <v>66</v>
      </c>
      <c r="E4" s="96"/>
      <c r="F4" s="95" t="s">
        <v>169</v>
      </c>
      <c r="G4" s="97"/>
      <c r="H4" s="163">
        <v>5400</v>
      </c>
      <c r="I4" s="96"/>
      <c r="J4" s="96"/>
      <c r="K4" s="95" t="s">
        <v>2</v>
      </c>
      <c r="L4" s="17" t="s">
        <v>66</v>
      </c>
      <c r="M4" s="87"/>
      <c r="O4" s="301" t="str">
        <f>C4</f>
        <v>Patient:</v>
      </c>
      <c r="P4" s="303" t="str">
        <f>D4</f>
        <v>??</v>
      </c>
    </row>
    <row r="5" spans="2:16" ht="13.5" thickBot="1" x14ac:dyDescent="0.25">
      <c r="B5" s="94"/>
      <c r="C5" s="95" t="s">
        <v>1</v>
      </c>
      <c r="D5" s="20" t="s">
        <v>66</v>
      </c>
      <c r="E5" s="96"/>
      <c r="F5" s="95" t="s">
        <v>167</v>
      </c>
      <c r="G5" s="97"/>
      <c r="H5" s="163">
        <v>3</v>
      </c>
      <c r="I5" s="96"/>
      <c r="J5" s="96"/>
      <c r="K5" s="95" t="s">
        <v>3</v>
      </c>
      <c r="L5" s="18" t="s">
        <v>66</v>
      </c>
      <c r="M5" s="87"/>
      <c r="O5" s="301" t="str">
        <f>C5</f>
        <v>CR#:</v>
      </c>
      <c r="P5" s="304" t="str">
        <f>D5</f>
        <v>??</v>
      </c>
    </row>
    <row r="6" spans="2:16" x14ac:dyDescent="0.2">
      <c r="B6" s="99" t="s">
        <v>9</v>
      </c>
      <c r="C6" s="83"/>
      <c r="D6" s="83"/>
      <c r="E6" s="83"/>
      <c r="F6" s="84"/>
      <c r="G6" s="84"/>
      <c r="H6" s="84"/>
      <c r="I6" s="83"/>
      <c r="J6" s="83"/>
      <c r="K6" s="84"/>
      <c r="L6" s="86"/>
      <c r="M6" s="87"/>
      <c r="O6" s="301" t="str">
        <f>K4</f>
        <v>Site:</v>
      </c>
      <c r="P6" s="305" t="str">
        <f>L4</f>
        <v>??</v>
      </c>
    </row>
    <row r="7" spans="2:16" x14ac:dyDescent="0.2">
      <c r="B7" s="94"/>
      <c r="C7" s="96" t="s">
        <v>4</v>
      </c>
      <c r="D7" s="96"/>
      <c r="E7" s="96"/>
      <c r="F7" s="97"/>
      <c r="G7" s="176" t="s">
        <v>66</v>
      </c>
      <c r="H7" s="97"/>
      <c r="I7" s="96"/>
      <c r="J7" s="96"/>
      <c r="K7" s="97"/>
      <c r="L7" s="100"/>
      <c r="M7" s="87"/>
      <c r="O7" s="301" t="str">
        <f>K5</f>
        <v>Plan Name:</v>
      </c>
      <c r="P7" s="304" t="str">
        <f>L5</f>
        <v>??</v>
      </c>
    </row>
    <row r="8" spans="2:16" x14ac:dyDescent="0.2">
      <c r="B8" s="94"/>
      <c r="C8" s="96" t="s">
        <v>5</v>
      </c>
      <c r="D8" s="96"/>
      <c r="E8" s="96"/>
      <c r="F8" s="97"/>
      <c r="G8" s="22" t="s">
        <v>66</v>
      </c>
      <c r="H8" s="97"/>
      <c r="I8" s="96"/>
      <c r="J8" s="96"/>
      <c r="K8" s="97"/>
      <c r="L8" s="100"/>
      <c r="M8" s="87"/>
      <c r="O8" s="301" t="str">
        <f>F4</f>
        <v>Prescription Dose (cGy):</v>
      </c>
      <c r="P8" s="303">
        <f>H4</f>
        <v>5400</v>
      </c>
    </row>
    <row r="9" spans="2:16" x14ac:dyDescent="0.2">
      <c r="B9" s="94"/>
      <c r="C9" s="96" t="s">
        <v>6</v>
      </c>
      <c r="D9" s="96"/>
      <c r="E9" s="96"/>
      <c r="F9" s="97"/>
      <c r="G9" s="176" t="s">
        <v>66</v>
      </c>
      <c r="H9" s="97"/>
      <c r="I9" s="96"/>
      <c r="J9" s="96"/>
      <c r="K9" s="97"/>
      <c r="L9" s="100"/>
      <c r="M9" s="87"/>
      <c r="O9" s="301" t="str">
        <f>F5</f>
        <v>Fractions:</v>
      </c>
      <c r="P9" s="306">
        <f>H5</f>
        <v>3</v>
      </c>
    </row>
    <row r="10" spans="2:16" ht="13.5" thickBot="1" x14ac:dyDescent="0.25">
      <c r="B10" s="89"/>
      <c r="C10" s="90" t="s">
        <v>7</v>
      </c>
      <c r="D10" s="90"/>
      <c r="E10" s="90"/>
      <c r="F10" s="91"/>
      <c r="G10" s="23" t="s">
        <v>66</v>
      </c>
      <c r="H10" s="91"/>
      <c r="I10" s="90"/>
      <c r="J10" s="90"/>
      <c r="K10" s="91"/>
      <c r="L10" s="93"/>
      <c r="M10" s="87"/>
      <c r="O10" s="301" t="str">
        <f>C7</f>
        <v>GTV Volume (cc)</v>
      </c>
      <c r="P10" s="307" t="str">
        <f>G7</f>
        <v>??</v>
      </c>
    </row>
    <row r="11" spans="2:16" x14ac:dyDescent="0.2">
      <c r="B11" s="99" t="s">
        <v>8</v>
      </c>
      <c r="C11" s="83"/>
      <c r="D11" s="83"/>
      <c r="E11" s="211" t="s">
        <v>42</v>
      </c>
      <c r="F11" s="212"/>
      <c r="G11" s="212"/>
      <c r="H11" s="212"/>
      <c r="I11" s="117" t="s">
        <v>37</v>
      </c>
      <c r="J11" s="83"/>
      <c r="K11" s="214" t="s">
        <v>37</v>
      </c>
      <c r="L11" s="215" t="s">
        <v>37</v>
      </c>
      <c r="M11" s="87"/>
      <c r="O11" s="301" t="str">
        <f>C8</f>
        <v>ITV Volume (cc):</v>
      </c>
      <c r="P11" s="307" t="str">
        <f>G8</f>
        <v>??</v>
      </c>
    </row>
    <row r="12" spans="2:16" x14ac:dyDescent="0.2">
      <c r="B12" s="101"/>
      <c r="C12" s="106"/>
      <c r="D12" s="107"/>
      <c r="E12" s="107"/>
      <c r="F12" s="107"/>
      <c r="G12" s="108" t="s">
        <v>141</v>
      </c>
      <c r="H12" s="109" t="s">
        <v>47</v>
      </c>
      <c r="I12" s="110" t="s">
        <v>20</v>
      </c>
      <c r="J12" s="107"/>
      <c r="K12" s="108" t="s">
        <v>19</v>
      </c>
      <c r="L12" s="111" t="s">
        <v>11</v>
      </c>
      <c r="M12" s="112" t="s">
        <v>44</v>
      </c>
      <c r="O12" s="301" t="str">
        <f>C9</f>
        <v>PTV Volume (cc)</v>
      </c>
      <c r="P12" s="308" t="str">
        <f>G9</f>
        <v>??</v>
      </c>
    </row>
    <row r="13" spans="2:16" x14ac:dyDescent="0.2">
      <c r="B13" s="101"/>
      <c r="C13" s="113"/>
      <c r="D13" s="96"/>
      <c r="E13" s="96"/>
      <c r="F13" s="97"/>
      <c r="G13" s="114" t="s">
        <v>58</v>
      </c>
      <c r="H13" s="104"/>
      <c r="I13" s="95"/>
      <c r="J13" s="96"/>
      <c r="K13" s="114" t="s">
        <v>18</v>
      </c>
      <c r="L13" s="100"/>
      <c r="M13" s="87"/>
      <c r="O13" s="301" t="str">
        <f>C10</f>
        <v>Total Lung Volume (cc)</v>
      </c>
      <c r="P13" s="307" t="str">
        <f>G10</f>
        <v>??</v>
      </c>
    </row>
    <row r="14" spans="2:16" x14ac:dyDescent="0.2">
      <c r="B14" s="101"/>
      <c r="C14" s="106" t="s">
        <v>45</v>
      </c>
      <c r="D14" s="107"/>
      <c r="E14" s="107"/>
      <c r="F14" s="115"/>
      <c r="G14" s="269" t="str">
        <f>IFERROR(H14*$H$4,"??")</f>
        <v>??</v>
      </c>
      <c r="H14" s="168" t="s">
        <v>66</v>
      </c>
      <c r="I14" s="220" t="b">
        <f>AND((H14&gt;59.99%),(H14&lt;90.01%))</f>
        <v>0</v>
      </c>
      <c r="J14" s="107"/>
      <c r="K14" s="116" t="s">
        <v>23</v>
      </c>
      <c r="L14" s="10" t="str">
        <f>IF(I14=TRUE, "Yes", "No")</f>
        <v>No</v>
      </c>
      <c r="M14" s="87" t="s">
        <v>46</v>
      </c>
      <c r="O14" s="301" t="str">
        <f>C14</f>
        <v>Plan Normalization Value (%)</v>
      </c>
      <c r="P14" s="309" t="str">
        <f>H14</f>
        <v>??</v>
      </c>
    </row>
    <row r="15" spans="2:16" ht="13.5" thickBot="1" x14ac:dyDescent="0.25">
      <c r="B15" s="94"/>
      <c r="C15" s="106"/>
      <c r="D15" s="107"/>
      <c r="E15" s="107"/>
      <c r="F15" s="115"/>
      <c r="G15" s="219"/>
      <c r="H15" s="219"/>
      <c r="I15" s="220"/>
      <c r="J15" s="107"/>
      <c r="K15" s="116"/>
      <c r="L15" s="10"/>
      <c r="M15" s="87"/>
      <c r="O15" s="301"/>
      <c r="P15" s="309"/>
    </row>
    <row r="16" spans="2:16" x14ac:dyDescent="0.2">
      <c r="B16" s="99" t="s">
        <v>30</v>
      </c>
      <c r="C16" s="117"/>
      <c r="D16" s="83"/>
      <c r="E16" s="83"/>
      <c r="F16" s="118"/>
      <c r="G16" s="221"/>
      <c r="H16" s="84"/>
      <c r="I16" s="222"/>
      <c r="J16" s="83"/>
      <c r="K16" s="119"/>
      <c r="L16" s="11"/>
      <c r="M16" s="87"/>
      <c r="O16" s="301" t="str">
        <f>C17</f>
        <v>PTV- Minimum Dose</v>
      </c>
      <c r="P16" s="307" t="str">
        <f>G17</f>
        <v>??</v>
      </c>
    </row>
    <row r="17" spans="2:16" x14ac:dyDescent="0.2">
      <c r="B17" s="94"/>
      <c r="C17" s="106" t="s">
        <v>41</v>
      </c>
      <c r="D17" s="107"/>
      <c r="E17" s="107"/>
      <c r="F17" s="115"/>
      <c r="G17" s="5" t="s">
        <v>66</v>
      </c>
      <c r="H17" s="223" t="str">
        <f>IFERROR(G17/$H$4,"??")</f>
        <v>??</v>
      </c>
      <c r="I17" s="220" t="b">
        <f>AND((H17&gt;59.99%),(H17&lt;90.01%))</f>
        <v>0</v>
      </c>
      <c r="J17" s="107"/>
      <c r="K17" s="116" t="s">
        <v>23</v>
      </c>
      <c r="L17" s="10" t="str">
        <f>IF(I17=TRUE, "Yes", "No")</f>
        <v>No</v>
      </c>
      <c r="M17" s="87"/>
      <c r="O17" s="301" t="str">
        <f>C18</f>
        <v>PTV - V100(%)</v>
      </c>
      <c r="P17" s="310" t="str">
        <f>H18</f>
        <v>??</v>
      </c>
    </row>
    <row r="18" spans="2:16" x14ac:dyDescent="0.2">
      <c r="B18" s="94"/>
      <c r="C18" s="113" t="s">
        <v>69</v>
      </c>
      <c r="D18" s="96"/>
      <c r="E18" s="96"/>
      <c r="F18" s="97"/>
      <c r="G18" s="270">
        <f>H4</f>
        <v>5400</v>
      </c>
      <c r="H18" s="173" t="s">
        <v>66</v>
      </c>
      <c r="I18" s="122"/>
      <c r="J18" s="122"/>
      <c r="K18" s="123">
        <v>0.95</v>
      </c>
      <c r="L18" s="12" t="str">
        <f>IF(H18&gt;=K18,"Yes","No")</f>
        <v>Yes</v>
      </c>
      <c r="M18" s="88" t="s">
        <v>150</v>
      </c>
      <c r="O18" s="301" t="str">
        <f>C19</f>
        <v>PTV - V90 (%)</v>
      </c>
      <c r="P18" s="310" t="str">
        <f>H19</f>
        <v>??</v>
      </c>
    </row>
    <row r="19" spans="2:16" ht="13.5" thickBot="1" x14ac:dyDescent="0.25">
      <c r="B19" s="89"/>
      <c r="C19" s="124" t="s">
        <v>70</v>
      </c>
      <c r="D19" s="90"/>
      <c r="E19" s="90"/>
      <c r="F19" s="91"/>
      <c r="G19" s="271">
        <f>0.9*H4</f>
        <v>4860</v>
      </c>
      <c r="H19" s="174" t="s">
        <v>66</v>
      </c>
      <c r="I19" s="126"/>
      <c r="J19" s="90"/>
      <c r="K19" s="127">
        <v>0.99</v>
      </c>
      <c r="L19" s="13" t="str">
        <f>IF(H19&gt;=K19,"Yes","No")</f>
        <v>Yes</v>
      </c>
      <c r="M19" s="88" t="s">
        <v>151</v>
      </c>
      <c r="O19" s="301" t="str">
        <f>CONCATENATE(C21," ",D21)</f>
        <v>Location V105% - PTV (cc) =</v>
      </c>
      <c r="P19" s="310" t="str">
        <f>G21</f>
        <v>??</v>
      </c>
    </row>
    <row r="20" spans="2:16" x14ac:dyDescent="0.2">
      <c r="B20" s="101" t="s">
        <v>39</v>
      </c>
      <c r="C20" s="96"/>
      <c r="D20" s="96"/>
      <c r="E20" s="96"/>
      <c r="F20" s="97"/>
      <c r="G20" s="128"/>
      <c r="H20" s="272"/>
      <c r="I20" s="96"/>
      <c r="J20" s="96"/>
      <c r="K20" s="129"/>
      <c r="L20" s="14"/>
      <c r="M20" s="87"/>
      <c r="O20" s="301" t="str">
        <f>CONCATENATE(C22," ",D22)</f>
        <v>Volume V100% (cc) =</v>
      </c>
      <c r="P20" s="310" t="str">
        <f>G22</f>
        <v>??</v>
      </c>
    </row>
    <row r="21" spans="2:16" ht="15.75" x14ac:dyDescent="0.3">
      <c r="B21" s="101" t="s">
        <v>37</v>
      </c>
      <c r="C21" s="130" t="s">
        <v>40</v>
      </c>
      <c r="D21" s="122" t="s">
        <v>112</v>
      </c>
      <c r="E21" s="122"/>
      <c r="F21" s="131"/>
      <c r="G21" s="15" t="s">
        <v>66</v>
      </c>
      <c r="H21" s="171" t="str">
        <f>IFERROR(G21/G9,"??")</f>
        <v>??</v>
      </c>
      <c r="I21" s="122"/>
      <c r="J21" s="122"/>
      <c r="K21" s="16" t="s">
        <v>10</v>
      </c>
      <c r="L21" s="12" t="str">
        <f>IF(H21&lt;=15%,"Yes","No")</f>
        <v>No</v>
      </c>
      <c r="M21" s="87" t="s">
        <v>48</v>
      </c>
      <c r="O21" s="301" t="str">
        <f>CONCATENATE(C24," ",D24)</f>
        <v>Location  D³2cm (%) =</v>
      </c>
      <c r="P21" s="311" t="str">
        <f>G24</f>
        <v>??</v>
      </c>
    </row>
    <row r="22" spans="2:16" ht="16.5" thickBot="1" x14ac:dyDescent="0.35">
      <c r="B22" s="132" t="s">
        <v>37</v>
      </c>
      <c r="C22" s="133" t="s">
        <v>43</v>
      </c>
      <c r="D22" s="90" t="s">
        <v>111</v>
      </c>
      <c r="E22" s="90"/>
      <c r="F22" s="91"/>
      <c r="G22" s="9" t="s">
        <v>66</v>
      </c>
      <c r="H22" s="172" t="str">
        <f>IFERROR('Calculations 54Gy 3F'!J31,"??")</f>
        <v>??</v>
      </c>
      <c r="I22" s="134" t="s">
        <v>37</v>
      </c>
      <c r="J22" s="90"/>
      <c r="K22" s="135" t="s">
        <v>12</v>
      </c>
      <c r="L22" s="81" t="str">
        <f ca="1">IFERROR('Calculations 54Gy 3F'!K31,"No")</f>
        <v>No</v>
      </c>
      <c r="M22" s="87" t="s">
        <v>52</v>
      </c>
      <c r="O22" s="301" t="str">
        <f>C25</f>
        <v>Volume(R50)</v>
      </c>
      <c r="P22" s="311" t="str">
        <f>G25</f>
        <v>??</v>
      </c>
    </row>
    <row r="23" spans="2:16" x14ac:dyDescent="0.2">
      <c r="B23" s="99" t="s">
        <v>38</v>
      </c>
      <c r="C23" s="83"/>
      <c r="D23" s="83"/>
      <c r="E23" s="83"/>
      <c r="F23" s="84"/>
      <c r="G23" s="119"/>
      <c r="H23" s="273"/>
      <c r="I23" s="83"/>
      <c r="J23" s="83"/>
      <c r="K23" s="119"/>
      <c r="L23" s="11"/>
      <c r="M23" s="87"/>
      <c r="O23" s="301" t="str">
        <f>C29</f>
        <v>Mean Dose (contralateral lung)</v>
      </c>
      <c r="P23" s="311" t="str">
        <f>G29</f>
        <v>??</v>
      </c>
    </row>
    <row r="24" spans="2:16" ht="14.25" x14ac:dyDescent="0.25">
      <c r="B24" s="101" t="s">
        <v>37</v>
      </c>
      <c r="C24" s="130" t="s">
        <v>157</v>
      </c>
      <c r="D24" s="136" t="s">
        <v>49</v>
      </c>
      <c r="E24" s="122"/>
      <c r="F24" s="131"/>
      <c r="G24" s="317" t="s">
        <v>66</v>
      </c>
      <c r="H24" s="316" t="str">
        <f>IFERROR(G24/H4,"??")</f>
        <v>??</v>
      </c>
      <c r="I24" s="139"/>
      <c r="J24" s="122"/>
      <c r="K24" s="161" t="str">
        <f ca="1">IFERROR('Calculations 54Gy 3F'!L27/100,"??")</f>
        <v>??</v>
      </c>
      <c r="L24" s="80" t="str">
        <f ca="1">IFERROR('Calculations 54Gy 3F'!K33,"No")</f>
        <v>No</v>
      </c>
      <c r="M24" s="140" t="s">
        <v>54</v>
      </c>
      <c r="O24" s="301" t="str">
        <f>C30</f>
        <v>Mean Dose (Total lung)</v>
      </c>
      <c r="P24" s="311" t="str">
        <f>G30</f>
        <v>??</v>
      </c>
    </row>
    <row r="25" spans="2:16" ht="16.5" thickBot="1" x14ac:dyDescent="0.35">
      <c r="B25" s="132" t="s">
        <v>37</v>
      </c>
      <c r="C25" s="133" t="s">
        <v>158</v>
      </c>
      <c r="D25" s="90"/>
      <c r="E25" s="90"/>
      <c r="F25" s="186" t="s">
        <v>159</v>
      </c>
      <c r="G25" s="318" t="s">
        <v>66</v>
      </c>
      <c r="H25" s="141" t="str">
        <f>IFERROR('Calculations 54Gy 3F'!J32,"??")</f>
        <v>??</v>
      </c>
      <c r="I25" s="142" t="s">
        <v>37</v>
      </c>
      <c r="J25" s="90"/>
      <c r="K25" s="162" t="str">
        <f ca="1">IFERROR('Calculations 54Gy 3F'!I27,"??")</f>
        <v>??</v>
      </c>
      <c r="L25" s="81" t="str">
        <f ca="1">IFERROR('Calculations 54Gy 3F'!K32,"No")</f>
        <v>No</v>
      </c>
      <c r="M25" s="87" t="s">
        <v>53</v>
      </c>
      <c r="O25" s="301" t="str">
        <f>C31</f>
        <v>V20 (Total Lung) in %</v>
      </c>
      <c r="P25" s="311" t="str">
        <f>G31</f>
        <v>??</v>
      </c>
    </row>
    <row r="26" spans="2:16" x14ac:dyDescent="0.2">
      <c r="B26" s="101" t="s">
        <v>22</v>
      </c>
      <c r="C26" s="96"/>
      <c r="D26" s="96"/>
      <c r="E26" s="96"/>
      <c r="F26" s="97"/>
      <c r="G26" s="114" t="s">
        <v>29</v>
      </c>
      <c r="H26" s="104" t="s">
        <v>47</v>
      </c>
      <c r="I26" s="143"/>
      <c r="J26" s="143"/>
      <c r="K26" s="144" t="s">
        <v>34</v>
      </c>
      <c r="L26" s="145"/>
      <c r="M26" s="87"/>
      <c r="O26" s="301" t="str">
        <f>CONCATENATE(C32," ",F32)</f>
        <v>Lung-Basic Function V11.6Gy=</v>
      </c>
      <c r="P26" s="311" t="str">
        <f>G32</f>
        <v>??</v>
      </c>
    </row>
    <row r="27" spans="2:16" ht="13.5" thickBot="1" x14ac:dyDescent="0.25">
      <c r="B27" s="101" t="s">
        <v>37</v>
      </c>
      <c r="C27" s="96"/>
      <c r="D27" s="96"/>
      <c r="E27" s="96"/>
      <c r="F27" s="97"/>
      <c r="G27" s="114" t="s">
        <v>21</v>
      </c>
      <c r="H27" s="272"/>
      <c r="I27" s="143"/>
      <c r="J27" s="143"/>
      <c r="K27" s="274" t="s">
        <v>59</v>
      </c>
      <c r="L27" s="145"/>
      <c r="M27" s="87"/>
      <c r="O27" s="301" t="str">
        <f>CONCATENATE(C33," ",F33)</f>
        <v>Lung-Pneumonitis V12.4Gy=</v>
      </c>
      <c r="P27" s="311" t="str">
        <f>G33</f>
        <v>??</v>
      </c>
    </row>
    <row r="28" spans="2:16" x14ac:dyDescent="0.2">
      <c r="B28" s="101" t="s">
        <v>37</v>
      </c>
      <c r="C28" s="99" t="s">
        <v>24</v>
      </c>
      <c r="D28" s="83"/>
      <c r="E28" s="83"/>
      <c r="F28" s="84"/>
      <c r="G28" s="119"/>
      <c r="H28" s="273"/>
      <c r="I28" s="83"/>
      <c r="J28" s="83"/>
      <c r="K28" s="119"/>
      <c r="L28" s="11"/>
      <c r="M28" s="87"/>
      <c r="O28" s="301" t="str">
        <f>CONCATENATE(C35," ",F35)</f>
        <v>Aorta  (max point dose)</v>
      </c>
      <c r="P28" s="311" t="str">
        <f>G35</f>
        <v>??</v>
      </c>
    </row>
    <row r="29" spans="2:16" x14ac:dyDescent="0.2">
      <c r="B29" s="94"/>
      <c r="C29" s="94" t="s">
        <v>25</v>
      </c>
      <c r="D29" s="96"/>
      <c r="E29" s="96"/>
      <c r="F29" s="97"/>
      <c r="G29" s="6" t="s">
        <v>66</v>
      </c>
      <c r="H29" s="183"/>
      <c r="I29" s="122"/>
      <c r="J29" s="122"/>
      <c r="K29" s="16"/>
      <c r="L29" s="275"/>
      <c r="M29" s="87"/>
      <c r="O29" s="301" t="str">
        <f>CONCATENATE(C36," ",F35)</f>
        <v>Artery-Pulmnory (max point dose)</v>
      </c>
      <c r="P29" s="311" t="str">
        <f t="shared" ref="P29:P38" si="0">G36</f>
        <v>??</v>
      </c>
    </row>
    <row r="30" spans="2:16" x14ac:dyDescent="0.2">
      <c r="B30" s="94"/>
      <c r="C30" s="94" t="s">
        <v>26</v>
      </c>
      <c r="D30" s="96"/>
      <c r="E30" s="96"/>
      <c r="F30" s="97"/>
      <c r="G30" s="7" t="s">
        <v>66</v>
      </c>
      <c r="H30" s="276"/>
      <c r="I30" s="147"/>
      <c r="J30" s="147"/>
      <c r="K30" s="148"/>
      <c r="L30" s="277"/>
      <c r="M30" s="87"/>
      <c r="O30" s="301" t="str">
        <f>CONCATENATE(C37," ",F37)</f>
        <v>Spinal Canal (max point dose)</v>
      </c>
      <c r="P30" s="311" t="str">
        <f t="shared" si="0"/>
        <v>??</v>
      </c>
    </row>
    <row r="31" spans="2:16" ht="13.5" thickBot="1" x14ac:dyDescent="0.25">
      <c r="B31" s="94"/>
      <c r="C31" s="94" t="s">
        <v>117</v>
      </c>
      <c r="D31" s="96"/>
      <c r="E31" s="96"/>
      <c r="F31" s="186" t="s">
        <v>146</v>
      </c>
      <c r="G31" s="185" t="s">
        <v>66</v>
      </c>
      <c r="H31" s="190" t="s">
        <v>37</v>
      </c>
      <c r="I31" s="122"/>
      <c r="J31" s="122"/>
      <c r="K31" s="278" t="str">
        <f ca="1">IFERROR('Calculations 54Gy 3F'!O27,"??")</f>
        <v>??</v>
      </c>
      <c r="L31" s="80" t="str">
        <f ca="1">IFERROR('Calculations 54Gy 3F'!K34,"No")</f>
        <v>No</v>
      </c>
      <c r="M31" s="87" t="s">
        <v>51</v>
      </c>
      <c r="O31" s="301" t="str">
        <f>CONCATENATE(C38," ",F37)</f>
        <v>Spinal Canal-PRV 5mm (max point dose)</v>
      </c>
      <c r="P31" s="311" t="str">
        <f t="shared" si="0"/>
        <v>??</v>
      </c>
    </row>
    <row r="32" spans="2:16" x14ac:dyDescent="0.2">
      <c r="B32" s="94"/>
      <c r="C32" s="94" t="s">
        <v>64</v>
      </c>
      <c r="D32" s="96"/>
      <c r="E32" s="96"/>
      <c r="F32" s="272" t="s">
        <v>130</v>
      </c>
      <c r="G32" s="6" t="s">
        <v>66</v>
      </c>
      <c r="H32" s="231" t="s">
        <v>147</v>
      </c>
      <c r="I32" s="122"/>
      <c r="J32" s="122"/>
      <c r="K32" s="278">
        <v>1500</v>
      </c>
      <c r="L32" s="194" t="str">
        <f>IF(G32&lt;=K32,"Yes","No")</f>
        <v>No</v>
      </c>
      <c r="M32" s="140" t="s">
        <v>71</v>
      </c>
      <c r="O32" s="301" t="str">
        <f>CONCATENATE(C39," ",F39)</f>
        <v>Ipsilat Brach.Plex (max point dose)</v>
      </c>
      <c r="P32" s="311" t="str">
        <f t="shared" si="0"/>
        <v>??</v>
      </c>
    </row>
    <row r="33" spans="1:16" ht="13.5" thickBot="1" x14ac:dyDescent="0.25">
      <c r="B33" s="94"/>
      <c r="C33" s="94" t="s">
        <v>65</v>
      </c>
      <c r="D33" s="96"/>
      <c r="E33" s="96"/>
      <c r="F33" s="97" t="s">
        <v>131</v>
      </c>
      <c r="G33" s="8" t="s">
        <v>66</v>
      </c>
      <c r="H33" s="231" t="s">
        <v>145</v>
      </c>
      <c r="I33" s="96"/>
      <c r="J33" s="96"/>
      <c r="K33" s="144">
        <v>1000</v>
      </c>
      <c r="L33" s="14" t="str">
        <f>IF(G33&lt;=K33,"Yes","No")</f>
        <v>No</v>
      </c>
      <c r="M33" s="140" t="s">
        <v>72</v>
      </c>
      <c r="O33" s="301" t="str">
        <f>CONCATENATE(C40," ",F40)</f>
        <v>Skin V30Gy=</v>
      </c>
      <c r="P33" s="311" t="str">
        <f t="shared" si="0"/>
        <v>??</v>
      </c>
    </row>
    <row r="34" spans="1:16" x14ac:dyDescent="0.2">
      <c r="B34" s="101" t="s">
        <v>37</v>
      </c>
      <c r="C34" s="99" t="s">
        <v>50</v>
      </c>
      <c r="D34" s="83"/>
      <c r="E34" s="83"/>
      <c r="F34" s="84"/>
      <c r="G34" s="119"/>
      <c r="H34" s="84"/>
      <c r="I34" s="83"/>
      <c r="J34" s="83"/>
      <c r="K34" s="119"/>
      <c r="L34" s="86"/>
      <c r="M34" s="87"/>
      <c r="O34" s="301" t="str">
        <f>CONCATENATE(C41," ",F41)</f>
        <v>Heart (max point dose)</v>
      </c>
      <c r="P34" s="311" t="str">
        <f t="shared" si="0"/>
        <v>??</v>
      </c>
    </row>
    <row r="35" spans="1:16" x14ac:dyDescent="0.2">
      <c r="B35" s="94"/>
      <c r="C35" s="205" t="s">
        <v>129</v>
      </c>
      <c r="D35" s="107" t="s">
        <v>37</v>
      </c>
      <c r="E35" s="107"/>
      <c r="F35" s="149" t="s">
        <v>60</v>
      </c>
      <c r="G35" s="3" t="s">
        <v>66</v>
      </c>
      <c r="H35" s="115"/>
      <c r="I35" s="107"/>
      <c r="J35" s="107"/>
      <c r="K35" s="108">
        <v>3000</v>
      </c>
      <c r="L35" s="10" t="str">
        <f t="shared" ref="L35:L46" si="1">IF(G35&lt;=K35,"Yes","No")</f>
        <v>No</v>
      </c>
      <c r="M35" s="87"/>
      <c r="O35" s="301" t="str">
        <f>CONCATENATE(C42," ",F42)</f>
        <v>Esophagus (max point dose)</v>
      </c>
      <c r="P35" s="311" t="str">
        <f t="shared" si="0"/>
        <v>??</v>
      </c>
    </row>
    <row r="36" spans="1:16" x14ac:dyDescent="0.2">
      <c r="B36" s="94"/>
      <c r="C36" s="193" t="s">
        <v>33</v>
      </c>
      <c r="D36" s="96"/>
      <c r="E36" s="96"/>
      <c r="F36" s="97"/>
      <c r="G36" s="3" t="s">
        <v>66</v>
      </c>
      <c r="H36" s="115"/>
      <c r="I36" s="107"/>
      <c r="J36" s="107"/>
      <c r="K36" s="108">
        <v>3000</v>
      </c>
      <c r="L36" s="10" t="str">
        <f t="shared" si="1"/>
        <v>No</v>
      </c>
      <c r="M36" s="87"/>
      <c r="O36" s="301" t="str">
        <f>CONCATENATE(C43," ",F43)</f>
        <v>*Chestwall (rib) (max point dose)</v>
      </c>
      <c r="P36" s="311" t="str">
        <f t="shared" si="0"/>
        <v>??</v>
      </c>
    </row>
    <row r="37" spans="1:16" x14ac:dyDescent="0.2">
      <c r="B37" s="94"/>
      <c r="C37" s="151" t="s">
        <v>15</v>
      </c>
      <c r="D37" s="107"/>
      <c r="E37" s="107"/>
      <c r="F37" s="149" t="s">
        <v>60</v>
      </c>
      <c r="G37" s="5" t="s">
        <v>66</v>
      </c>
      <c r="H37" s="279" t="s">
        <v>37</v>
      </c>
      <c r="I37" s="107"/>
      <c r="J37" s="107"/>
      <c r="K37" s="116">
        <v>1800</v>
      </c>
      <c r="L37" s="10" t="str">
        <f t="shared" si="1"/>
        <v>No</v>
      </c>
      <c r="M37" s="87" t="s">
        <v>61</v>
      </c>
      <c r="O37" s="301" t="str">
        <f>CONCATENATE(C43," ",F44)</f>
        <v>*Chestwall (rib) V28.2Gy=</v>
      </c>
      <c r="P37" s="311" t="str">
        <f t="shared" si="0"/>
        <v>??</v>
      </c>
    </row>
    <row r="38" spans="1:16" x14ac:dyDescent="0.2">
      <c r="B38" s="94"/>
      <c r="C38" s="243" t="s">
        <v>35</v>
      </c>
      <c r="D38" s="122"/>
      <c r="E38" s="122"/>
      <c r="F38" s="131"/>
      <c r="G38" s="6" t="s">
        <v>66</v>
      </c>
      <c r="H38" s="131"/>
      <c r="I38" s="122"/>
      <c r="J38" s="122"/>
      <c r="K38" s="16">
        <v>2000</v>
      </c>
      <c r="L38" s="12" t="str">
        <f t="shared" si="1"/>
        <v>No</v>
      </c>
      <c r="M38" s="87"/>
      <c r="O38" s="301" t="str">
        <f>CONCATENATE(C43," ",F45)</f>
        <v>*Chestwall (rib) V30Gy=</v>
      </c>
      <c r="P38" s="311" t="str">
        <f t="shared" si="0"/>
        <v>??</v>
      </c>
    </row>
    <row r="39" spans="1:16" x14ac:dyDescent="0.2">
      <c r="B39" s="94"/>
      <c r="C39" s="151" t="s">
        <v>62</v>
      </c>
      <c r="D39" s="107"/>
      <c r="E39" s="107"/>
      <c r="F39" s="280" t="s">
        <v>60</v>
      </c>
      <c r="G39" s="5" t="s">
        <v>66</v>
      </c>
      <c r="H39" s="115"/>
      <c r="I39" s="107"/>
      <c r="J39" s="107"/>
      <c r="K39" s="116">
        <v>2400</v>
      </c>
      <c r="L39" s="10" t="str">
        <f t="shared" si="1"/>
        <v>No</v>
      </c>
      <c r="M39" s="87" t="s">
        <v>28</v>
      </c>
      <c r="O39" s="301" t="str">
        <f>A46</f>
        <v>Trachea</v>
      </c>
      <c r="P39" s="312">
        <f>A47</f>
        <v>0</v>
      </c>
    </row>
    <row r="40" spans="1:16" ht="15.75" x14ac:dyDescent="0.3">
      <c r="B40" s="94"/>
      <c r="C40" s="281" t="s">
        <v>14</v>
      </c>
      <c r="D40" s="282" t="s">
        <v>153</v>
      </c>
      <c r="E40" s="283"/>
      <c r="F40" s="284" t="s">
        <v>154</v>
      </c>
      <c r="G40" s="181" t="s">
        <v>66</v>
      </c>
      <c r="H40" s="285" t="s">
        <v>37</v>
      </c>
      <c r="I40" s="286"/>
      <c r="J40" s="286"/>
      <c r="K40" s="287">
        <v>10</v>
      </c>
      <c r="L40" s="288" t="str">
        <f t="shared" si="1"/>
        <v>No</v>
      </c>
      <c r="M40" s="87" t="s">
        <v>28</v>
      </c>
      <c r="O40" s="301" t="str">
        <f>B46</f>
        <v>Bronchus</v>
      </c>
      <c r="P40" s="312">
        <f>B47</f>
        <v>0</v>
      </c>
    </row>
    <row r="41" spans="1:16" x14ac:dyDescent="0.2">
      <c r="B41" s="94"/>
      <c r="C41" s="151" t="s">
        <v>17</v>
      </c>
      <c r="D41" s="107"/>
      <c r="E41" s="107"/>
      <c r="F41" s="149" t="s">
        <v>60</v>
      </c>
      <c r="G41" s="5" t="s">
        <v>66</v>
      </c>
      <c r="H41" s="279" t="s">
        <v>37</v>
      </c>
      <c r="I41" s="107"/>
      <c r="J41" s="107"/>
      <c r="K41" s="116">
        <v>3000</v>
      </c>
      <c r="L41" s="10" t="str">
        <f t="shared" si="1"/>
        <v>No</v>
      </c>
      <c r="M41" s="87" t="s">
        <v>63</v>
      </c>
      <c r="O41" s="301" t="str">
        <f>CONCATENATE(C46," ",C47," ",F46)</f>
        <v>Proximal Trachea and Bronchial Tree (max point dose)</v>
      </c>
      <c r="P41" s="311" t="str">
        <f>G46</f>
        <v>??</v>
      </c>
    </row>
    <row r="42" spans="1:16" x14ac:dyDescent="0.2">
      <c r="B42" s="94"/>
      <c r="C42" s="151" t="s">
        <v>13</v>
      </c>
      <c r="D42" s="107"/>
      <c r="E42" s="107"/>
      <c r="F42" s="149" t="s">
        <v>60</v>
      </c>
      <c r="G42" s="5" t="s">
        <v>66</v>
      </c>
      <c r="H42" s="115"/>
      <c r="I42" s="107"/>
      <c r="J42" s="107"/>
      <c r="K42" s="116">
        <v>2700</v>
      </c>
      <c r="L42" s="10" t="str">
        <f t="shared" si="1"/>
        <v>No</v>
      </c>
      <c r="M42" s="87" t="s">
        <v>28</v>
      </c>
      <c r="O42" s="301" t="str">
        <f>C48</f>
        <v>Dosimetrist:</v>
      </c>
      <c r="P42" s="305" t="str">
        <f>C49</f>
        <v>??</v>
      </c>
    </row>
    <row r="43" spans="1:16" x14ac:dyDescent="0.2">
      <c r="B43" s="94"/>
      <c r="C43" s="151" t="s">
        <v>124</v>
      </c>
      <c r="D43" s="107"/>
      <c r="E43" s="107"/>
      <c r="F43" s="149" t="s">
        <v>60</v>
      </c>
      <c r="G43" s="5" t="s">
        <v>66</v>
      </c>
      <c r="H43" s="115"/>
      <c r="I43" s="107"/>
      <c r="J43" s="107"/>
      <c r="K43" s="116">
        <v>3480</v>
      </c>
      <c r="L43" s="10" t="str">
        <f t="shared" si="1"/>
        <v>No</v>
      </c>
      <c r="M43" s="87" t="s">
        <v>61</v>
      </c>
      <c r="O43" s="301" t="str">
        <f>G48</f>
        <v>Physicist:</v>
      </c>
      <c r="P43" s="305" t="str">
        <f>G49</f>
        <v>??</v>
      </c>
    </row>
    <row r="44" spans="1:16" ht="14.25" x14ac:dyDescent="0.25">
      <c r="B44" s="94"/>
      <c r="C44" s="94"/>
      <c r="D44" s="143" t="s">
        <v>152</v>
      </c>
      <c r="E44" s="96"/>
      <c r="F44" s="98" t="s">
        <v>140</v>
      </c>
      <c r="G44" s="4" t="str">
        <f>IF(G43&lt;=2820,"OK","??")</f>
        <v>??</v>
      </c>
      <c r="H44" s="131"/>
      <c r="I44" s="122"/>
      <c r="J44" s="122"/>
      <c r="K44" s="16">
        <v>1</v>
      </c>
      <c r="L44" s="12" t="str">
        <f>IF(G43&lt;=2820,"Yes",IF(G44&lt;=K44,"Yes","No"))</f>
        <v>No</v>
      </c>
      <c r="M44" s="87" t="s">
        <v>63</v>
      </c>
      <c r="O44" s="301" t="str">
        <f>J48</f>
        <v>Radiation Oncologist:</v>
      </c>
      <c r="P44" s="305" t="str">
        <f>K49</f>
        <v>??</v>
      </c>
    </row>
    <row r="45" spans="1:16" ht="15" thickBot="1" x14ac:dyDescent="0.3">
      <c r="B45" s="94"/>
      <c r="C45" s="94"/>
      <c r="D45" s="289" t="s">
        <v>126</v>
      </c>
      <c r="E45" s="248" t="s">
        <v>37</v>
      </c>
      <c r="F45" s="290" t="s">
        <v>118</v>
      </c>
      <c r="G45" s="7" t="str">
        <f>IF(G43&lt;=3000,"OK","??")</f>
        <v>??</v>
      </c>
      <c r="H45" s="146"/>
      <c r="I45" s="147"/>
      <c r="J45" s="147"/>
      <c r="K45" s="148">
        <v>30</v>
      </c>
      <c r="L45" s="12" t="str">
        <f>IF(G43&lt;=3000,"Yes",IF(G45&lt;=K45,"Yes","No"))</f>
        <v>No</v>
      </c>
      <c r="M45" s="87"/>
      <c r="O45" s="301" t="str">
        <f>B50</f>
        <v>NOTES:</v>
      </c>
      <c r="P45" s="305">
        <f>C50</f>
        <v>0</v>
      </c>
    </row>
    <row r="46" spans="1:16" ht="13.5" thickBot="1" x14ac:dyDescent="0.25">
      <c r="A46" s="294" t="s">
        <v>203</v>
      </c>
      <c r="B46" s="295" t="s">
        <v>204</v>
      </c>
      <c r="C46" s="151" t="s">
        <v>16</v>
      </c>
      <c r="D46" s="107"/>
      <c r="E46" s="107"/>
      <c r="F46" s="149" t="s">
        <v>60</v>
      </c>
      <c r="G46" s="5" t="str">
        <f>IF(MAX(A47:B47)&gt;0,MAX(A47:B47),"??")</f>
        <v>??</v>
      </c>
      <c r="H46" s="115" t="s">
        <v>37</v>
      </c>
      <c r="I46" s="107"/>
      <c r="J46" s="107"/>
      <c r="K46" s="116">
        <v>3000</v>
      </c>
      <c r="L46" s="10" t="str">
        <f t="shared" si="1"/>
        <v>No</v>
      </c>
      <c r="M46" s="87" t="s">
        <v>63</v>
      </c>
      <c r="O46" s="298"/>
    </row>
    <row r="47" spans="1:16" ht="13.5" thickBot="1" x14ac:dyDescent="0.25">
      <c r="A47" s="296">
        <v>0</v>
      </c>
      <c r="B47" s="297">
        <v>0</v>
      </c>
      <c r="C47" s="94" t="s">
        <v>122</v>
      </c>
      <c r="D47" s="96"/>
      <c r="E47" s="96"/>
      <c r="F47" s="150"/>
      <c r="G47" s="8" t="s">
        <v>37</v>
      </c>
      <c r="H47" s="97"/>
      <c r="I47" s="96"/>
      <c r="J47" s="96"/>
      <c r="K47" s="128"/>
      <c r="L47" s="14"/>
      <c r="M47" s="87"/>
      <c r="O47" s="298"/>
    </row>
    <row r="48" spans="1:16" x14ac:dyDescent="0.2">
      <c r="B48" s="94"/>
      <c r="C48" s="117" t="s">
        <v>55</v>
      </c>
      <c r="D48" s="83"/>
      <c r="E48" s="83"/>
      <c r="F48" s="84"/>
      <c r="G48" s="85" t="s">
        <v>56</v>
      </c>
      <c r="H48" s="84"/>
      <c r="I48" s="83"/>
      <c r="J48" s="117" t="s">
        <v>57</v>
      </c>
      <c r="K48" s="84"/>
      <c r="L48" s="86"/>
      <c r="M48" s="87"/>
      <c r="O48" s="298"/>
    </row>
    <row r="49" spans="2:15" x14ac:dyDescent="0.2">
      <c r="B49" s="94"/>
      <c r="C49" s="22" t="s">
        <v>66</v>
      </c>
      <c r="D49" s="96"/>
      <c r="E49" s="96"/>
      <c r="F49" s="97"/>
      <c r="G49" s="22" t="s">
        <v>66</v>
      </c>
      <c r="H49" s="97"/>
      <c r="I49" s="96"/>
      <c r="J49" s="96"/>
      <c r="K49" s="22" t="s">
        <v>66</v>
      </c>
      <c r="L49" s="100"/>
      <c r="M49" s="87"/>
      <c r="O49" s="298"/>
    </row>
    <row r="50" spans="2:15" x14ac:dyDescent="0.2">
      <c r="B50" s="101" t="s">
        <v>138</v>
      </c>
      <c r="C50" s="21"/>
      <c r="D50" s="21"/>
      <c r="E50" s="21"/>
      <c r="F50" s="22"/>
      <c r="G50" s="22"/>
      <c r="H50" s="22"/>
      <c r="I50" s="21"/>
      <c r="J50" s="21"/>
      <c r="K50" s="22"/>
      <c r="L50" s="17"/>
      <c r="M50" s="87"/>
      <c r="O50" s="298"/>
    </row>
    <row r="51" spans="2:15" ht="13.5" thickBot="1" x14ac:dyDescent="0.25">
      <c r="B51" s="89"/>
      <c r="C51" s="90"/>
      <c r="D51" s="90"/>
      <c r="E51" s="90"/>
      <c r="F51" s="256" t="s">
        <v>125</v>
      </c>
      <c r="G51" s="257" t="s">
        <v>123</v>
      </c>
      <c r="H51" s="256"/>
      <c r="I51" s="257"/>
      <c r="J51" s="257"/>
      <c r="K51" s="256"/>
      <c r="L51" s="258"/>
      <c r="M51" s="87"/>
      <c r="O51" s="298"/>
    </row>
    <row r="52" spans="2:15" x14ac:dyDescent="0.2">
      <c r="B52" s="153" t="s">
        <v>160</v>
      </c>
      <c r="C52" s="88"/>
      <c r="D52" s="88"/>
      <c r="E52" s="88"/>
      <c r="F52" s="154"/>
      <c r="G52" s="154"/>
      <c r="H52" s="154"/>
      <c r="I52" s="88"/>
      <c r="J52" s="88"/>
      <c r="K52" s="154"/>
      <c r="L52" s="154"/>
      <c r="M52" s="87"/>
      <c r="O52" s="298"/>
    </row>
    <row r="53" spans="2:15" x14ac:dyDescent="0.2">
      <c r="B53" s="88"/>
      <c r="C53" s="88"/>
      <c r="D53" s="88"/>
      <c r="E53" s="88"/>
      <c r="F53" s="154"/>
      <c r="G53" s="154"/>
      <c r="H53" s="154"/>
      <c r="I53" s="88"/>
      <c r="J53" s="88"/>
      <c r="K53" s="154"/>
      <c r="L53" s="154"/>
      <c r="M53" s="87"/>
      <c r="O53" s="298"/>
    </row>
    <row r="55" spans="2:15" x14ac:dyDescent="0.2">
      <c r="F55" s="166"/>
      <c r="G55" s="164"/>
      <c r="H55" s="191"/>
      <c r="I55" s="165"/>
      <c r="J55" s="165"/>
      <c r="K55" s="164"/>
      <c r="L55" s="164"/>
    </row>
  </sheetData>
  <sheetProtection formatCells="0" formatColumns="0" formatRows="0"/>
  <phoneticPr fontId="2" type="noConversion"/>
  <pageMargins left="0.75" right="0.75" top="1" bottom="1" header="0.5" footer="0.5"/>
  <pageSetup scale="8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C1:Q43"/>
  <sheetViews>
    <sheetView workbookViewId="0">
      <selection activeCell="K31" sqref="K31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24"/>
      <c r="D1" s="25"/>
      <c r="E1" s="25"/>
      <c r="F1" s="25"/>
      <c r="G1" s="25"/>
      <c r="H1" s="25"/>
      <c r="I1" s="26" t="s">
        <v>110</v>
      </c>
      <c r="J1" s="25"/>
      <c r="K1" s="25"/>
      <c r="L1" s="25"/>
      <c r="M1" s="25"/>
      <c r="N1" s="25"/>
      <c r="O1" s="25"/>
      <c r="P1" s="25"/>
      <c r="Q1" s="27"/>
    </row>
    <row r="2" spans="3:17" ht="15.75" thickBot="1" x14ac:dyDescent="0.3">
      <c r="C2" s="28"/>
      <c r="D2" s="29"/>
      <c r="E2" s="30" t="s">
        <v>78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1"/>
    </row>
    <row r="3" spans="3:17" ht="15" x14ac:dyDescent="0.25">
      <c r="C3" s="24"/>
      <c r="D3" s="32"/>
      <c r="E3" s="25"/>
      <c r="F3" s="24"/>
      <c r="G3" s="25"/>
      <c r="H3" s="27"/>
      <c r="I3" s="25"/>
      <c r="J3" s="25"/>
      <c r="K3" s="25"/>
      <c r="L3" s="24" t="s">
        <v>79</v>
      </c>
      <c r="M3" s="25"/>
      <c r="N3" s="27"/>
      <c r="O3" s="25" t="s">
        <v>80</v>
      </c>
      <c r="P3" s="25"/>
      <c r="Q3" s="27"/>
    </row>
    <row r="4" spans="3:17" ht="15" x14ac:dyDescent="0.25">
      <c r="C4" s="28"/>
      <c r="D4" s="33"/>
      <c r="E4" s="29"/>
      <c r="F4" s="34" t="s">
        <v>81</v>
      </c>
      <c r="G4" s="29"/>
      <c r="H4" s="31"/>
      <c r="I4" s="29" t="s">
        <v>82</v>
      </c>
      <c r="J4" s="29"/>
      <c r="K4" s="29"/>
      <c r="L4" s="28" t="s">
        <v>83</v>
      </c>
      <c r="M4" s="29"/>
      <c r="N4" s="31"/>
      <c r="O4" s="29" t="s">
        <v>84</v>
      </c>
      <c r="P4" s="29"/>
      <c r="Q4" s="31"/>
    </row>
    <row r="5" spans="3:17" x14ac:dyDescent="0.2">
      <c r="C5" s="28"/>
      <c r="D5" s="29"/>
      <c r="E5" s="29"/>
      <c r="F5" s="34" t="s">
        <v>85</v>
      </c>
      <c r="G5" s="29"/>
      <c r="H5" s="31"/>
      <c r="I5" s="35" t="s">
        <v>86</v>
      </c>
      <c r="J5" s="29"/>
      <c r="K5" s="29"/>
      <c r="L5" s="28" t="s">
        <v>87</v>
      </c>
      <c r="M5" s="29"/>
      <c r="N5" s="31"/>
      <c r="O5" s="29"/>
      <c r="P5" s="29"/>
      <c r="Q5" s="31"/>
    </row>
    <row r="6" spans="3:17" ht="13.5" thickBot="1" x14ac:dyDescent="0.25">
      <c r="C6" s="28"/>
      <c r="D6" s="36" t="s">
        <v>73</v>
      </c>
      <c r="E6" s="29"/>
      <c r="F6" s="34" t="s">
        <v>88</v>
      </c>
      <c r="G6" s="29"/>
      <c r="H6" s="31"/>
      <c r="I6" s="35"/>
      <c r="J6" s="29"/>
      <c r="K6" s="29"/>
      <c r="L6" s="28"/>
      <c r="M6" s="29"/>
      <c r="N6" s="31"/>
      <c r="O6" s="29"/>
      <c r="P6" s="29"/>
      <c r="Q6" s="31"/>
    </row>
    <row r="7" spans="3:17" x14ac:dyDescent="0.2">
      <c r="C7" s="28"/>
      <c r="D7" s="36" t="s">
        <v>89</v>
      </c>
      <c r="E7" s="29"/>
      <c r="F7" s="37" t="s">
        <v>90</v>
      </c>
      <c r="G7" s="25"/>
      <c r="H7" s="27"/>
      <c r="I7" s="25"/>
      <c r="J7" s="25" t="s">
        <v>91</v>
      </c>
      <c r="K7" s="25"/>
      <c r="L7" s="38" t="s">
        <v>92</v>
      </c>
      <c r="M7" s="25"/>
      <c r="N7" s="27"/>
      <c r="O7" s="39" t="s">
        <v>93</v>
      </c>
      <c r="P7" s="25"/>
      <c r="Q7" s="27"/>
    </row>
    <row r="8" spans="3:17" ht="13.5" thickBot="1" x14ac:dyDescent="0.25">
      <c r="C8" s="40"/>
      <c r="D8" s="41" t="s">
        <v>74</v>
      </c>
      <c r="E8" s="41"/>
      <c r="F8" s="42" t="s">
        <v>75</v>
      </c>
      <c r="G8" s="41" t="s">
        <v>94</v>
      </c>
      <c r="H8" s="43"/>
      <c r="I8" s="41" t="s">
        <v>75</v>
      </c>
      <c r="J8" s="41" t="s">
        <v>94</v>
      </c>
      <c r="K8" s="41"/>
      <c r="L8" s="42" t="s">
        <v>75</v>
      </c>
      <c r="M8" s="41" t="s">
        <v>94</v>
      </c>
      <c r="N8" s="43"/>
      <c r="O8" s="41" t="s">
        <v>75</v>
      </c>
      <c r="P8" s="44" t="s">
        <v>94</v>
      </c>
      <c r="Q8" s="43"/>
    </row>
    <row r="9" spans="3:17" ht="15" x14ac:dyDescent="0.25">
      <c r="C9" s="28"/>
      <c r="D9" s="45">
        <v>1.8</v>
      </c>
      <c r="E9" s="36"/>
      <c r="F9" s="46">
        <v>1.2</v>
      </c>
      <c r="G9" s="47">
        <v>1.5</v>
      </c>
      <c r="H9" s="48"/>
      <c r="I9" s="49">
        <v>5.9</v>
      </c>
      <c r="J9" s="49">
        <v>7.5</v>
      </c>
      <c r="K9" s="36"/>
      <c r="L9" s="46">
        <v>50</v>
      </c>
      <c r="M9" s="47">
        <v>57</v>
      </c>
      <c r="N9" s="48"/>
      <c r="O9" s="36">
        <v>10</v>
      </c>
      <c r="P9" s="36">
        <v>15</v>
      </c>
      <c r="Q9" s="48"/>
    </row>
    <row r="10" spans="3:17" ht="15" x14ac:dyDescent="0.25">
      <c r="C10" s="28"/>
      <c r="D10" s="45">
        <v>3.8</v>
      </c>
      <c r="E10" s="36"/>
      <c r="F10" s="46">
        <v>1.2</v>
      </c>
      <c r="G10" s="47">
        <v>1.5</v>
      </c>
      <c r="H10" s="48"/>
      <c r="I10" s="49">
        <v>5.5</v>
      </c>
      <c r="J10" s="49">
        <v>6.5</v>
      </c>
      <c r="K10" s="36"/>
      <c r="L10" s="46">
        <v>50</v>
      </c>
      <c r="M10" s="47">
        <v>57</v>
      </c>
      <c r="N10" s="48"/>
      <c r="O10" s="36">
        <v>10</v>
      </c>
      <c r="P10" s="36">
        <v>15</v>
      </c>
      <c r="Q10" s="48"/>
    </row>
    <row r="11" spans="3:17" ht="15" x14ac:dyDescent="0.25">
      <c r="C11" s="28"/>
      <c r="D11" s="45">
        <v>7.4</v>
      </c>
      <c r="E11" s="36"/>
      <c r="F11" s="46">
        <v>1.2</v>
      </c>
      <c r="G11" s="47">
        <v>1.5</v>
      </c>
      <c r="H11" s="48"/>
      <c r="I11" s="49">
        <v>5.0999999999999996</v>
      </c>
      <c r="J11" s="49">
        <v>6</v>
      </c>
      <c r="K11" s="36"/>
      <c r="L11" s="46">
        <v>50</v>
      </c>
      <c r="M11" s="47">
        <v>58</v>
      </c>
      <c r="N11" s="48"/>
      <c r="O11" s="36">
        <v>10</v>
      </c>
      <c r="P11" s="36">
        <v>15</v>
      </c>
      <c r="Q11" s="48"/>
    </row>
    <row r="12" spans="3:17" ht="15" x14ac:dyDescent="0.25">
      <c r="C12" s="28"/>
      <c r="D12" s="45">
        <v>13.2</v>
      </c>
      <c r="E12" s="36"/>
      <c r="F12" s="46">
        <v>1.2</v>
      </c>
      <c r="G12" s="47">
        <v>1.5</v>
      </c>
      <c r="H12" s="48"/>
      <c r="I12" s="49">
        <v>4.7</v>
      </c>
      <c r="J12" s="49">
        <v>5.8</v>
      </c>
      <c r="K12" s="36"/>
      <c r="L12" s="46">
        <v>50</v>
      </c>
      <c r="M12" s="47">
        <v>58</v>
      </c>
      <c r="N12" s="48"/>
      <c r="O12" s="36">
        <v>10</v>
      </c>
      <c r="P12" s="36">
        <v>15</v>
      </c>
      <c r="Q12" s="48"/>
    </row>
    <row r="13" spans="3:17" ht="15" x14ac:dyDescent="0.25">
      <c r="C13" s="28"/>
      <c r="D13" s="45">
        <v>22</v>
      </c>
      <c r="E13" s="36"/>
      <c r="F13" s="46">
        <v>1.2</v>
      </c>
      <c r="G13" s="47">
        <v>1.5</v>
      </c>
      <c r="H13" s="48"/>
      <c r="I13" s="49">
        <v>4.5</v>
      </c>
      <c r="J13" s="49">
        <v>5.5</v>
      </c>
      <c r="K13" s="36"/>
      <c r="L13" s="46">
        <v>54</v>
      </c>
      <c r="M13" s="47">
        <v>63</v>
      </c>
      <c r="N13" s="48"/>
      <c r="O13" s="36">
        <v>10</v>
      </c>
      <c r="P13" s="36">
        <v>15</v>
      </c>
      <c r="Q13" s="48"/>
    </row>
    <row r="14" spans="3:17" ht="15" x14ac:dyDescent="0.25">
      <c r="C14" s="28"/>
      <c r="D14" s="45">
        <v>34</v>
      </c>
      <c r="E14" s="36"/>
      <c r="F14" s="46">
        <v>1.2</v>
      </c>
      <c r="G14" s="47">
        <v>1.5</v>
      </c>
      <c r="H14" s="48"/>
      <c r="I14" s="49">
        <v>4.3</v>
      </c>
      <c r="J14" s="49">
        <v>5.3</v>
      </c>
      <c r="K14" s="36"/>
      <c r="L14" s="46">
        <v>58</v>
      </c>
      <c r="M14" s="47">
        <v>68</v>
      </c>
      <c r="N14" s="48"/>
      <c r="O14" s="36">
        <v>10</v>
      </c>
      <c r="P14" s="36">
        <v>15</v>
      </c>
      <c r="Q14" s="48"/>
    </row>
    <row r="15" spans="3:17" ht="15" x14ac:dyDescent="0.25">
      <c r="C15" s="28"/>
      <c r="D15" s="45">
        <v>50</v>
      </c>
      <c r="E15" s="36"/>
      <c r="F15" s="46">
        <v>1.2</v>
      </c>
      <c r="G15" s="47">
        <v>1.5</v>
      </c>
      <c r="H15" s="48"/>
      <c r="I15" s="49">
        <v>4</v>
      </c>
      <c r="J15" s="49">
        <v>5</v>
      </c>
      <c r="K15" s="36"/>
      <c r="L15" s="46">
        <v>62</v>
      </c>
      <c r="M15" s="47">
        <v>77</v>
      </c>
      <c r="N15" s="48"/>
      <c r="O15" s="36">
        <v>10</v>
      </c>
      <c r="P15" s="36">
        <v>15</v>
      </c>
      <c r="Q15" s="48"/>
    </row>
    <row r="16" spans="3:17" ht="15" x14ac:dyDescent="0.25">
      <c r="C16" s="28"/>
      <c r="D16" s="45">
        <v>70</v>
      </c>
      <c r="E16" s="36"/>
      <c r="F16" s="46">
        <v>1.2</v>
      </c>
      <c r="G16" s="47">
        <v>1.5</v>
      </c>
      <c r="H16" s="48"/>
      <c r="I16" s="49">
        <v>3.5</v>
      </c>
      <c r="J16" s="49">
        <v>4.8</v>
      </c>
      <c r="K16" s="36"/>
      <c r="L16" s="46">
        <v>66</v>
      </c>
      <c r="M16" s="47">
        <v>86</v>
      </c>
      <c r="N16" s="48"/>
      <c r="O16" s="36">
        <v>10</v>
      </c>
      <c r="P16" s="36">
        <v>15</v>
      </c>
      <c r="Q16" s="48"/>
    </row>
    <row r="17" spans="3:17" ht="15" x14ac:dyDescent="0.25">
      <c r="C17" s="28"/>
      <c r="D17" s="45">
        <v>95</v>
      </c>
      <c r="E17" s="36"/>
      <c r="F17" s="46">
        <v>1.2</v>
      </c>
      <c r="G17" s="47">
        <v>1.5</v>
      </c>
      <c r="H17" s="48"/>
      <c r="I17" s="49">
        <v>3.3</v>
      </c>
      <c r="J17" s="49">
        <v>4.4000000000000004</v>
      </c>
      <c r="K17" s="36"/>
      <c r="L17" s="46">
        <v>70</v>
      </c>
      <c r="M17" s="47">
        <v>89</v>
      </c>
      <c r="N17" s="48"/>
      <c r="O17" s="36">
        <v>10</v>
      </c>
      <c r="P17" s="36">
        <v>15</v>
      </c>
      <c r="Q17" s="48"/>
    </row>
    <row r="18" spans="3:17" ht="15" x14ac:dyDescent="0.25">
      <c r="C18" s="28"/>
      <c r="D18" s="45">
        <v>126</v>
      </c>
      <c r="E18" s="36"/>
      <c r="F18" s="46">
        <v>1.2</v>
      </c>
      <c r="G18" s="47">
        <v>1.5</v>
      </c>
      <c r="H18" s="48"/>
      <c r="I18" s="49">
        <v>3.1</v>
      </c>
      <c r="J18" s="49">
        <v>4</v>
      </c>
      <c r="K18" s="36"/>
      <c r="L18" s="46">
        <v>73</v>
      </c>
      <c r="M18" s="47">
        <v>91</v>
      </c>
      <c r="N18" s="48"/>
      <c r="O18" s="36">
        <v>10</v>
      </c>
      <c r="P18" s="36">
        <v>15</v>
      </c>
      <c r="Q18" s="48"/>
    </row>
    <row r="19" spans="3:17" ht="15.75" thickBot="1" x14ac:dyDescent="0.3">
      <c r="C19" s="40"/>
      <c r="D19" s="50">
        <v>163</v>
      </c>
      <c r="E19" s="41"/>
      <c r="F19" s="51">
        <v>1.2</v>
      </c>
      <c r="G19" s="52">
        <v>1.5</v>
      </c>
      <c r="H19" s="43"/>
      <c r="I19" s="53">
        <v>2.9</v>
      </c>
      <c r="J19" s="53">
        <v>3.7</v>
      </c>
      <c r="K19" s="41"/>
      <c r="L19" s="51">
        <v>77</v>
      </c>
      <c r="M19" s="52">
        <v>94</v>
      </c>
      <c r="N19" s="43"/>
      <c r="O19" s="41">
        <v>10</v>
      </c>
      <c r="P19" s="41">
        <v>15</v>
      </c>
      <c r="Q19" s="43"/>
    </row>
    <row r="20" spans="3:17" ht="15" x14ac:dyDescent="0.25">
      <c r="C20" s="28"/>
      <c r="D20" s="45"/>
      <c r="E20" s="36"/>
      <c r="F20" s="47"/>
      <c r="G20" s="47"/>
      <c r="H20" s="36"/>
      <c r="I20" s="49"/>
      <c r="J20" s="49"/>
      <c r="K20" s="36"/>
      <c r="L20" s="47"/>
      <c r="M20" s="47"/>
      <c r="N20" s="36"/>
      <c r="O20" s="36"/>
      <c r="P20" s="36"/>
      <c r="Q20" s="48"/>
    </row>
    <row r="21" spans="3:17" ht="15" x14ac:dyDescent="0.25">
      <c r="C21" s="28" t="s">
        <v>76</v>
      </c>
      <c r="D21" s="45"/>
      <c r="E21" s="36"/>
      <c r="F21" s="47"/>
      <c r="G21" s="47"/>
      <c r="H21" s="36"/>
      <c r="I21" s="49"/>
      <c r="J21" s="49"/>
      <c r="K21" s="36"/>
      <c r="L21" s="47"/>
      <c r="M21" s="47"/>
      <c r="N21" s="36"/>
      <c r="O21" s="36"/>
      <c r="P21" s="36"/>
      <c r="Q21" s="48"/>
    </row>
    <row r="22" spans="3:17" x14ac:dyDescent="0.2">
      <c r="C22" s="28" t="s">
        <v>95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48"/>
    </row>
    <row r="23" spans="3:17" ht="13.5" thickBot="1" x14ac:dyDescent="0.25">
      <c r="C23" s="40" t="s">
        <v>37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5"/>
    </row>
    <row r="24" spans="3:17" ht="18.75" x14ac:dyDescent="0.3">
      <c r="C24" s="56" t="s">
        <v>96</v>
      </c>
      <c r="D24" s="57"/>
      <c r="E24" s="57"/>
      <c r="F24" s="57"/>
      <c r="G24" s="57"/>
      <c r="H24" s="57"/>
      <c r="I24" s="57"/>
      <c r="J24" s="58" t="s">
        <v>37</v>
      </c>
      <c r="K24" s="57"/>
      <c r="L24" s="57"/>
      <c r="M24" s="57"/>
      <c r="N24" s="57"/>
      <c r="O24" s="57"/>
      <c r="P24" s="57"/>
      <c r="Q24" s="59"/>
    </row>
    <row r="25" spans="3:17" ht="18" x14ac:dyDescent="0.35">
      <c r="C25" s="60"/>
      <c r="D25" s="61"/>
      <c r="E25" s="61"/>
      <c r="F25" s="62" t="s">
        <v>97</v>
      </c>
      <c r="G25" s="63"/>
      <c r="H25" s="64"/>
      <c r="I25" s="62" t="s">
        <v>97</v>
      </c>
      <c r="J25" s="63"/>
      <c r="K25" s="64"/>
      <c r="L25" s="62" t="s">
        <v>98</v>
      </c>
      <c r="M25" s="63"/>
      <c r="N25" s="64"/>
      <c r="O25" s="62" t="s">
        <v>133</v>
      </c>
      <c r="P25" s="63"/>
      <c r="Q25" s="65"/>
    </row>
    <row r="26" spans="3:17" ht="15" x14ac:dyDescent="0.25">
      <c r="C26" s="60"/>
      <c r="D26" s="61"/>
      <c r="E26" s="61"/>
      <c r="F26" s="63" t="s">
        <v>99</v>
      </c>
      <c r="G26" s="66" t="s">
        <v>94</v>
      </c>
      <c r="H26" s="160" t="s">
        <v>100</v>
      </c>
      <c r="I26" s="63" t="s">
        <v>99</v>
      </c>
      <c r="J26" s="66" t="s">
        <v>94</v>
      </c>
      <c r="K26" s="67" t="s">
        <v>100</v>
      </c>
      <c r="L26" s="63" t="s">
        <v>99</v>
      </c>
      <c r="M26" s="66" t="s">
        <v>94</v>
      </c>
      <c r="N26" s="67" t="s">
        <v>100</v>
      </c>
      <c r="O26" s="63" t="s">
        <v>99</v>
      </c>
      <c r="P26" s="66" t="s">
        <v>94</v>
      </c>
      <c r="Q26" s="68" t="s">
        <v>100</v>
      </c>
    </row>
    <row r="27" spans="3:17" ht="13.5" thickBot="1" x14ac:dyDescent="0.25">
      <c r="C27" s="69"/>
      <c r="D27" s="70"/>
      <c r="E27" s="71"/>
      <c r="F27" s="70" t="e">
        <f ca="1">FORECAST(I30,OFFSET(F9:F19,MATCH(I30,D9:D19,1)-1,0,2),OFFSET(D9:D19,MATCH(I30,D9:D19,1)-1,0,2))</f>
        <v>#VALUE!</v>
      </c>
      <c r="G27" s="70" t="e">
        <f ca="1">FORECAST(I30,OFFSET(G9:G19,MATCH(I30,D9:D19,1)-1,0,2),OFFSET(D9:D19,MATCH(I30,D9:D19,1)-1,0,2))</f>
        <v>#VALUE!</v>
      </c>
      <c r="H27" s="71"/>
      <c r="I27" s="70" t="e">
        <f ca="1">FORECAST(I30,OFFSET(I9:I19,MATCH(I30,D9:D19,1)-1,0,2),OFFSET(D9:D19,MATCH(I30,D9:D19,1)-1,0,2))</f>
        <v>#VALUE!</v>
      </c>
      <c r="J27" s="70" t="e">
        <f ca="1">FORECAST(I30,OFFSET(J9:J19,MATCH(I30,D9:D19,1)-1,0,2),OFFSET(D9:D19,MATCH(I30,D9:D19,1)-1,0,2))</f>
        <v>#VALUE!</v>
      </c>
      <c r="K27" s="71"/>
      <c r="L27" s="70" t="e">
        <f ca="1">FORECAST(I30,OFFSET(L9:L19,MATCH(I30,D9:D19,1)-1,0,2),OFFSET(D9:D19,MATCH(I30,D9:D19,1)-1,0,2))</f>
        <v>#VALUE!</v>
      </c>
      <c r="M27" s="70" t="e">
        <f ca="1">FORECAST(I30,OFFSET(M9:M19,MATCH(I30,D9:D19,1)-1,0,2),OFFSET(D9:D19,MATCH(I30,D9:D19,1)-1,0,2))</f>
        <v>#VALUE!</v>
      </c>
      <c r="N27" s="71"/>
      <c r="O27" s="70" t="e">
        <f ca="1">FORECAST(I30,OFFSET(O9:O19,MATCH(I30,D9:D19,1)-1,0,2),OFFSET(D9:D19,MATCH(I30,D9:D19,1)-1,0,2))</f>
        <v>#VALUE!</v>
      </c>
      <c r="P27" s="70" t="e">
        <f ca="1">FORECAST(I30,OFFSET(P9:P19,MATCH(I30,D9:D19,1)-1,0,2),OFFSET(D9:D19,MATCH(I30,D9:D19,1)-1,0,2))</f>
        <v>#VALUE!</v>
      </c>
      <c r="Q27" s="72"/>
    </row>
    <row r="28" spans="3:17" ht="18.75" x14ac:dyDescent="0.3">
      <c r="C28" s="73" t="s">
        <v>101</v>
      </c>
      <c r="D28" s="74"/>
      <c r="E28" s="61"/>
      <c r="F28" s="74"/>
      <c r="G28" s="74"/>
      <c r="H28" s="61"/>
      <c r="I28" s="74"/>
      <c r="J28" s="74"/>
      <c r="K28" s="61"/>
      <c r="L28" s="74"/>
      <c r="M28" s="74"/>
      <c r="N28" s="61"/>
      <c r="O28" s="74"/>
      <c r="P28" s="74"/>
      <c r="Q28" s="65"/>
    </row>
    <row r="29" spans="3:17" ht="18.75" x14ac:dyDescent="0.3">
      <c r="C29" s="60"/>
      <c r="D29" s="61"/>
      <c r="E29" s="61"/>
      <c r="F29" s="61"/>
      <c r="G29" s="61"/>
      <c r="H29" s="74"/>
      <c r="I29" s="63" t="s">
        <v>102</v>
      </c>
      <c r="J29" s="63" t="s">
        <v>103</v>
      </c>
      <c r="K29" s="75" t="s">
        <v>104</v>
      </c>
      <c r="L29" s="61"/>
      <c r="M29" s="61"/>
      <c r="N29" s="61"/>
      <c r="O29" s="61"/>
      <c r="P29" s="61"/>
      <c r="Q29" s="65"/>
    </row>
    <row r="30" spans="3:17" ht="18.75" x14ac:dyDescent="0.3">
      <c r="C30" s="60"/>
      <c r="D30" s="61"/>
      <c r="E30" s="61"/>
      <c r="F30" s="61"/>
      <c r="G30" s="61"/>
      <c r="H30" s="159" t="s">
        <v>105</v>
      </c>
      <c r="I30" s="74" t="str">
        <f>'EvaluationSheet 48Gy4F 60Gy5F'!G9</f>
        <v>??</v>
      </c>
      <c r="J30" s="74"/>
      <c r="K30" s="61" t="s">
        <v>37</v>
      </c>
      <c r="L30" s="61"/>
      <c r="M30" s="61"/>
      <c r="N30" s="61"/>
      <c r="O30" s="61"/>
      <c r="P30" s="61"/>
      <c r="Q30" s="65"/>
    </row>
    <row r="31" spans="3:17" ht="20.25" x14ac:dyDescent="0.35">
      <c r="C31" s="60"/>
      <c r="D31" s="61"/>
      <c r="E31" s="61"/>
      <c r="F31" s="61"/>
      <c r="G31" s="61"/>
      <c r="H31" s="77" t="s">
        <v>113</v>
      </c>
      <c r="I31" s="74" t="str">
        <f>'EvaluationSheet 48Gy4F 60Gy5F'!G22</f>
        <v>??</v>
      </c>
      <c r="J31" s="76" t="e">
        <f>I31/I30</f>
        <v>#VALUE!</v>
      </c>
      <c r="K31" s="74" t="str">
        <f>IF(I31="??","??",IF(J31&lt;F27,F26,IF(J31&lt;=G27,G26,H26)))</f>
        <v>??</v>
      </c>
      <c r="L31" s="61"/>
      <c r="M31" s="61"/>
      <c r="N31" s="61"/>
      <c r="O31" s="61"/>
      <c r="P31" s="61"/>
      <c r="Q31" s="65"/>
    </row>
    <row r="32" spans="3:17" ht="20.25" x14ac:dyDescent="0.35">
      <c r="C32" s="60"/>
      <c r="D32" s="61"/>
      <c r="E32" s="61"/>
      <c r="F32" s="61"/>
      <c r="G32" s="61"/>
      <c r="H32" s="77" t="s">
        <v>114</v>
      </c>
      <c r="I32" s="74" t="str">
        <f>'EvaluationSheet 48Gy4F 60Gy5F'!G25</f>
        <v>??</v>
      </c>
      <c r="J32" s="76" t="e">
        <f>I32/I30</f>
        <v>#VALUE!</v>
      </c>
      <c r="K32" s="74" t="str">
        <f>IF(I32="??","??",IF(J32&lt;=I27,I26,IF(J32&lt;=J27,J26,K26)))</f>
        <v>??</v>
      </c>
      <c r="L32" s="61"/>
      <c r="M32" s="61"/>
      <c r="N32" s="61"/>
      <c r="O32" s="61"/>
      <c r="P32" s="61"/>
      <c r="Q32" s="65"/>
    </row>
    <row r="33" spans="3:17" ht="20.25" x14ac:dyDescent="0.35">
      <c r="C33" s="60"/>
      <c r="D33" s="61"/>
      <c r="E33" s="61"/>
      <c r="F33" s="61"/>
      <c r="G33" s="61"/>
      <c r="H33" s="77" t="s">
        <v>115</v>
      </c>
      <c r="I33" s="74" t="str">
        <f>'EvaluationSheet 48Gy4F 60Gy5F'!G24</f>
        <v>??</v>
      </c>
      <c r="J33" s="76" t="str">
        <f>I33</f>
        <v>??</v>
      </c>
      <c r="K33" s="74" t="str">
        <f>IF(I33="??","??",IF(J33&lt;=L27,L26,IF(J33&lt;=M27,M26,N26)))</f>
        <v>??</v>
      </c>
      <c r="L33" s="61"/>
      <c r="M33" s="61"/>
      <c r="N33" s="61"/>
      <c r="O33" s="61"/>
      <c r="P33" s="61"/>
      <c r="Q33" s="65"/>
    </row>
    <row r="34" spans="3:17" ht="20.25" x14ac:dyDescent="0.35">
      <c r="C34" s="60"/>
      <c r="D34" s="61"/>
      <c r="E34" s="61"/>
      <c r="F34" s="61"/>
      <c r="G34" s="61"/>
      <c r="H34" s="77" t="s">
        <v>116</v>
      </c>
      <c r="I34" s="76" t="str">
        <f>'EvaluationSheet 48Gy4F 60Gy5F'!G31</f>
        <v>??</v>
      </c>
      <c r="J34" s="74"/>
      <c r="K34" s="74" t="str">
        <f>IF(I34="??","??",IF(I34&lt;=0.1,O26,IF(I34&lt;=0.15,P26,Q26)))</f>
        <v>??</v>
      </c>
      <c r="L34" s="61"/>
      <c r="M34" s="61"/>
      <c r="N34" s="61"/>
      <c r="O34" s="61"/>
      <c r="P34" s="61"/>
      <c r="Q34" s="65"/>
    </row>
    <row r="35" spans="3:17" ht="13.5" thickBot="1" x14ac:dyDescent="0.25">
      <c r="C35" s="69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2"/>
    </row>
    <row r="43" spans="3:17" x14ac:dyDescent="0.2">
      <c r="C43" s="153" t="s">
        <v>160</v>
      </c>
    </row>
  </sheetData>
  <sheetProtection selectLockedCells="1" selectUnlockedCell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C1:Q46"/>
  <sheetViews>
    <sheetView workbookViewId="0">
      <selection activeCell="J34" sqref="J34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24"/>
      <c r="D1" s="25"/>
      <c r="E1" s="25"/>
      <c r="F1" s="25"/>
      <c r="G1" s="25"/>
      <c r="H1" s="25"/>
      <c r="I1" s="26" t="s">
        <v>110</v>
      </c>
      <c r="J1" s="25"/>
      <c r="K1" s="25"/>
      <c r="L1" s="25"/>
      <c r="M1" s="25"/>
      <c r="N1" s="25"/>
      <c r="O1" s="25"/>
      <c r="P1" s="25"/>
      <c r="Q1" s="27"/>
    </row>
    <row r="2" spans="3:17" ht="15.75" thickBot="1" x14ac:dyDescent="0.3">
      <c r="C2" s="28"/>
      <c r="D2" s="29"/>
      <c r="E2" s="30" t="s">
        <v>78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1"/>
    </row>
    <row r="3" spans="3:17" ht="15" x14ac:dyDescent="0.25">
      <c r="C3" s="24"/>
      <c r="D3" s="32"/>
      <c r="E3" s="25"/>
      <c r="F3" s="24"/>
      <c r="G3" s="25"/>
      <c r="H3" s="27"/>
      <c r="I3" s="25"/>
      <c r="J3" s="25"/>
      <c r="K3" s="25"/>
      <c r="L3" s="24" t="s">
        <v>79</v>
      </c>
      <c r="M3" s="25"/>
      <c r="N3" s="27"/>
      <c r="O3" s="25" t="s">
        <v>80</v>
      </c>
      <c r="P3" s="25"/>
      <c r="Q3" s="27"/>
    </row>
    <row r="4" spans="3:17" ht="15" x14ac:dyDescent="0.25">
      <c r="C4" s="28"/>
      <c r="D4" s="33"/>
      <c r="E4" s="29"/>
      <c r="F4" s="34" t="s">
        <v>81</v>
      </c>
      <c r="G4" s="29"/>
      <c r="H4" s="31"/>
      <c r="I4" s="29" t="s">
        <v>82</v>
      </c>
      <c r="J4" s="29"/>
      <c r="K4" s="29"/>
      <c r="L4" s="28" t="s">
        <v>83</v>
      </c>
      <c r="M4" s="29"/>
      <c r="N4" s="31"/>
      <c r="O4" s="29" t="s">
        <v>84</v>
      </c>
      <c r="P4" s="29"/>
      <c r="Q4" s="31"/>
    </row>
    <row r="5" spans="3:17" x14ac:dyDescent="0.2">
      <c r="C5" s="28"/>
      <c r="D5" s="29"/>
      <c r="E5" s="29"/>
      <c r="F5" s="34" t="s">
        <v>85</v>
      </c>
      <c r="G5" s="29"/>
      <c r="H5" s="31"/>
      <c r="I5" s="35" t="s">
        <v>86</v>
      </c>
      <c r="J5" s="29"/>
      <c r="K5" s="29"/>
      <c r="L5" s="28" t="s">
        <v>87</v>
      </c>
      <c r="M5" s="29"/>
      <c r="N5" s="31"/>
      <c r="O5" s="29"/>
      <c r="P5" s="29"/>
      <c r="Q5" s="31"/>
    </row>
    <row r="6" spans="3:17" ht="13.5" thickBot="1" x14ac:dyDescent="0.25">
      <c r="C6" s="28"/>
      <c r="D6" s="36" t="s">
        <v>73</v>
      </c>
      <c r="E6" s="29"/>
      <c r="F6" s="34" t="s">
        <v>88</v>
      </c>
      <c r="G6" s="29"/>
      <c r="H6" s="31"/>
      <c r="I6" s="35"/>
      <c r="J6" s="29"/>
      <c r="K6" s="29"/>
      <c r="L6" s="28"/>
      <c r="M6" s="29"/>
      <c r="N6" s="31"/>
      <c r="O6" s="29"/>
      <c r="P6" s="29"/>
      <c r="Q6" s="31"/>
    </row>
    <row r="7" spans="3:17" x14ac:dyDescent="0.2">
      <c r="C7" s="28"/>
      <c r="D7" s="36" t="s">
        <v>89</v>
      </c>
      <c r="E7" s="29"/>
      <c r="F7" s="37" t="s">
        <v>90</v>
      </c>
      <c r="G7" s="25"/>
      <c r="H7" s="27"/>
      <c r="I7" s="25"/>
      <c r="J7" s="25" t="s">
        <v>91</v>
      </c>
      <c r="K7" s="25"/>
      <c r="L7" s="38" t="s">
        <v>92</v>
      </c>
      <c r="M7" s="25"/>
      <c r="N7" s="27"/>
      <c r="O7" s="39" t="s">
        <v>93</v>
      </c>
      <c r="P7" s="25"/>
      <c r="Q7" s="27"/>
    </row>
    <row r="8" spans="3:17" ht="13.5" thickBot="1" x14ac:dyDescent="0.25">
      <c r="C8" s="40"/>
      <c r="D8" s="41" t="s">
        <v>74</v>
      </c>
      <c r="E8" s="41"/>
      <c r="F8" s="42" t="s">
        <v>75</v>
      </c>
      <c r="G8" s="41" t="s">
        <v>94</v>
      </c>
      <c r="H8" s="43"/>
      <c r="I8" s="41" t="s">
        <v>75</v>
      </c>
      <c r="J8" s="41" t="s">
        <v>94</v>
      </c>
      <c r="K8" s="41"/>
      <c r="L8" s="42" t="s">
        <v>75</v>
      </c>
      <c r="M8" s="41" t="s">
        <v>94</v>
      </c>
      <c r="N8" s="43"/>
      <c r="O8" s="41" t="s">
        <v>75</v>
      </c>
      <c r="P8" s="44" t="s">
        <v>94</v>
      </c>
      <c r="Q8" s="43"/>
    </row>
    <row r="9" spans="3:17" ht="15" x14ac:dyDescent="0.25">
      <c r="C9" s="28"/>
      <c r="D9" s="45">
        <v>1.8</v>
      </c>
      <c r="E9" s="36"/>
      <c r="F9" s="46">
        <v>1.2</v>
      </c>
      <c r="G9" s="47">
        <v>1.5</v>
      </c>
      <c r="H9" s="48"/>
      <c r="I9" s="49">
        <v>5.9</v>
      </c>
      <c r="J9" s="49">
        <v>7.5</v>
      </c>
      <c r="K9" s="36"/>
      <c r="L9" s="46">
        <v>50</v>
      </c>
      <c r="M9" s="47">
        <v>57</v>
      </c>
      <c r="N9" s="48"/>
      <c r="O9" s="36">
        <v>10</v>
      </c>
      <c r="P9" s="36">
        <v>15</v>
      </c>
      <c r="Q9" s="48"/>
    </row>
    <row r="10" spans="3:17" ht="15" x14ac:dyDescent="0.25">
      <c r="C10" s="28"/>
      <c r="D10" s="45">
        <v>3.8</v>
      </c>
      <c r="E10" s="36"/>
      <c r="F10" s="46">
        <v>1.2</v>
      </c>
      <c r="G10" s="47">
        <v>1.5</v>
      </c>
      <c r="H10" s="48"/>
      <c r="I10" s="49">
        <v>5.5</v>
      </c>
      <c r="J10" s="49">
        <v>6.5</v>
      </c>
      <c r="K10" s="36"/>
      <c r="L10" s="46">
        <v>50</v>
      </c>
      <c r="M10" s="47">
        <v>57</v>
      </c>
      <c r="N10" s="48"/>
      <c r="O10" s="36">
        <v>10</v>
      </c>
      <c r="P10" s="36">
        <v>15</v>
      </c>
      <c r="Q10" s="48"/>
    </row>
    <row r="11" spans="3:17" ht="15" x14ac:dyDescent="0.25">
      <c r="C11" s="28"/>
      <c r="D11" s="45">
        <v>7.4</v>
      </c>
      <c r="E11" s="36"/>
      <c r="F11" s="46">
        <v>1.2</v>
      </c>
      <c r="G11" s="47">
        <v>1.5</v>
      </c>
      <c r="H11" s="48"/>
      <c r="I11" s="49">
        <v>5.0999999999999996</v>
      </c>
      <c r="J11" s="49">
        <v>6</v>
      </c>
      <c r="K11" s="36"/>
      <c r="L11" s="46">
        <v>50</v>
      </c>
      <c r="M11" s="47">
        <v>58</v>
      </c>
      <c r="N11" s="48"/>
      <c r="O11" s="36">
        <v>10</v>
      </c>
      <c r="P11" s="36">
        <v>15</v>
      </c>
      <c r="Q11" s="48"/>
    </row>
    <row r="12" spans="3:17" ht="15" x14ac:dyDescent="0.25">
      <c r="C12" s="28"/>
      <c r="D12" s="45">
        <v>13.2</v>
      </c>
      <c r="E12" s="36"/>
      <c r="F12" s="46">
        <v>1.2</v>
      </c>
      <c r="G12" s="47">
        <v>1.5</v>
      </c>
      <c r="H12" s="48"/>
      <c r="I12" s="49">
        <v>4.7</v>
      </c>
      <c r="J12" s="49">
        <v>5.8</v>
      </c>
      <c r="K12" s="36"/>
      <c r="L12" s="46">
        <v>50</v>
      </c>
      <c r="M12" s="47">
        <v>58</v>
      </c>
      <c r="N12" s="48"/>
      <c r="O12" s="36">
        <v>10</v>
      </c>
      <c r="P12" s="36">
        <v>15</v>
      </c>
      <c r="Q12" s="48"/>
    </row>
    <row r="13" spans="3:17" ht="15" x14ac:dyDescent="0.25">
      <c r="C13" s="28"/>
      <c r="D13" s="45">
        <v>22</v>
      </c>
      <c r="E13" s="36"/>
      <c r="F13" s="46">
        <v>1.2</v>
      </c>
      <c r="G13" s="47">
        <v>1.5</v>
      </c>
      <c r="H13" s="48"/>
      <c r="I13" s="49">
        <v>4.5</v>
      </c>
      <c r="J13" s="49">
        <v>5.5</v>
      </c>
      <c r="K13" s="36"/>
      <c r="L13" s="46">
        <v>54</v>
      </c>
      <c r="M13" s="47">
        <v>63</v>
      </c>
      <c r="N13" s="48"/>
      <c r="O13" s="36">
        <v>10</v>
      </c>
      <c r="P13" s="36">
        <v>15</v>
      </c>
      <c r="Q13" s="48"/>
    </row>
    <row r="14" spans="3:17" ht="15" x14ac:dyDescent="0.25">
      <c r="C14" s="28"/>
      <c r="D14" s="45">
        <v>34</v>
      </c>
      <c r="E14" s="36"/>
      <c r="F14" s="46">
        <v>1.2</v>
      </c>
      <c r="G14" s="47">
        <v>1.5</v>
      </c>
      <c r="H14" s="48"/>
      <c r="I14" s="49">
        <v>4.3</v>
      </c>
      <c r="J14" s="49">
        <v>5.3</v>
      </c>
      <c r="K14" s="36"/>
      <c r="L14" s="46">
        <v>58</v>
      </c>
      <c r="M14" s="47">
        <v>68</v>
      </c>
      <c r="N14" s="48"/>
      <c r="O14" s="36">
        <v>10</v>
      </c>
      <c r="P14" s="36">
        <v>15</v>
      </c>
      <c r="Q14" s="48"/>
    </row>
    <row r="15" spans="3:17" ht="15" x14ac:dyDescent="0.25">
      <c r="C15" s="28"/>
      <c r="D15" s="45">
        <v>50</v>
      </c>
      <c r="E15" s="36"/>
      <c r="F15" s="46">
        <v>1.2</v>
      </c>
      <c r="G15" s="47">
        <v>1.5</v>
      </c>
      <c r="H15" s="48"/>
      <c r="I15" s="49">
        <v>4</v>
      </c>
      <c r="J15" s="49">
        <v>5</v>
      </c>
      <c r="K15" s="36"/>
      <c r="L15" s="46">
        <v>62</v>
      </c>
      <c r="M15" s="47">
        <v>77</v>
      </c>
      <c r="N15" s="48"/>
      <c r="O15" s="36">
        <v>10</v>
      </c>
      <c r="P15" s="36">
        <v>15</v>
      </c>
      <c r="Q15" s="48"/>
    </row>
    <row r="16" spans="3:17" ht="15" x14ac:dyDescent="0.25">
      <c r="C16" s="28"/>
      <c r="D16" s="45">
        <v>70</v>
      </c>
      <c r="E16" s="36"/>
      <c r="F16" s="46">
        <v>1.2</v>
      </c>
      <c r="G16" s="47">
        <v>1.5</v>
      </c>
      <c r="H16" s="48"/>
      <c r="I16" s="49">
        <v>3.5</v>
      </c>
      <c r="J16" s="49">
        <v>4.8</v>
      </c>
      <c r="K16" s="36"/>
      <c r="L16" s="46">
        <v>66</v>
      </c>
      <c r="M16" s="47">
        <v>86</v>
      </c>
      <c r="N16" s="48"/>
      <c r="O16" s="36">
        <v>10</v>
      </c>
      <c r="P16" s="36">
        <v>15</v>
      </c>
      <c r="Q16" s="48"/>
    </row>
    <row r="17" spans="3:17" ht="15" x14ac:dyDescent="0.25">
      <c r="C17" s="28"/>
      <c r="D17" s="45">
        <v>95</v>
      </c>
      <c r="E17" s="36"/>
      <c r="F17" s="46">
        <v>1.2</v>
      </c>
      <c r="G17" s="47">
        <v>1.5</v>
      </c>
      <c r="H17" s="48"/>
      <c r="I17" s="49">
        <v>3.3</v>
      </c>
      <c r="J17" s="49">
        <v>4.4000000000000004</v>
      </c>
      <c r="K17" s="36"/>
      <c r="L17" s="46">
        <v>70</v>
      </c>
      <c r="M17" s="47">
        <v>89</v>
      </c>
      <c r="N17" s="48"/>
      <c r="O17" s="36">
        <v>10</v>
      </c>
      <c r="P17" s="36">
        <v>15</v>
      </c>
      <c r="Q17" s="48"/>
    </row>
    <row r="18" spans="3:17" ht="15" x14ac:dyDescent="0.25">
      <c r="C18" s="28"/>
      <c r="D18" s="45">
        <v>126</v>
      </c>
      <c r="E18" s="36"/>
      <c r="F18" s="46">
        <v>1.2</v>
      </c>
      <c r="G18" s="47">
        <v>1.5</v>
      </c>
      <c r="H18" s="48"/>
      <c r="I18" s="49">
        <v>3.1</v>
      </c>
      <c r="J18" s="49">
        <v>4</v>
      </c>
      <c r="K18" s="36"/>
      <c r="L18" s="46">
        <v>73</v>
      </c>
      <c r="M18" s="47">
        <v>91</v>
      </c>
      <c r="N18" s="48"/>
      <c r="O18" s="36">
        <v>10</v>
      </c>
      <c r="P18" s="36">
        <v>15</v>
      </c>
      <c r="Q18" s="48"/>
    </row>
    <row r="19" spans="3:17" ht="15.75" thickBot="1" x14ac:dyDescent="0.3">
      <c r="C19" s="40"/>
      <c r="D19" s="50">
        <v>163</v>
      </c>
      <c r="E19" s="41"/>
      <c r="F19" s="51">
        <v>1.2</v>
      </c>
      <c r="G19" s="52">
        <v>1.5</v>
      </c>
      <c r="H19" s="43"/>
      <c r="I19" s="53">
        <v>2.9</v>
      </c>
      <c r="J19" s="53">
        <v>3.7</v>
      </c>
      <c r="K19" s="41"/>
      <c r="L19" s="51">
        <v>77</v>
      </c>
      <c r="M19" s="52">
        <v>94</v>
      </c>
      <c r="N19" s="43"/>
      <c r="O19" s="41">
        <v>10</v>
      </c>
      <c r="P19" s="41">
        <v>15</v>
      </c>
      <c r="Q19" s="43"/>
    </row>
    <row r="20" spans="3:17" ht="15" x14ac:dyDescent="0.25">
      <c r="C20" s="28"/>
      <c r="D20" s="45"/>
      <c r="E20" s="36"/>
      <c r="F20" s="47"/>
      <c r="G20" s="47"/>
      <c r="H20" s="36"/>
      <c r="I20" s="49"/>
      <c r="J20" s="49"/>
      <c r="K20" s="36"/>
      <c r="L20" s="47"/>
      <c r="M20" s="47"/>
      <c r="N20" s="36"/>
      <c r="O20" s="36"/>
      <c r="P20" s="36"/>
      <c r="Q20" s="48"/>
    </row>
    <row r="21" spans="3:17" ht="15" x14ac:dyDescent="0.25">
      <c r="C21" s="28" t="s">
        <v>76</v>
      </c>
      <c r="D21" s="45"/>
      <c r="E21" s="36"/>
      <c r="F21" s="47"/>
      <c r="G21" s="47"/>
      <c r="H21" s="36"/>
      <c r="I21" s="49"/>
      <c r="J21" s="49"/>
      <c r="K21" s="36"/>
      <c r="L21" s="47"/>
      <c r="M21" s="47"/>
      <c r="N21" s="36"/>
      <c r="O21" s="36"/>
      <c r="P21" s="36"/>
      <c r="Q21" s="48"/>
    </row>
    <row r="22" spans="3:17" x14ac:dyDescent="0.2">
      <c r="C22" s="28" t="s">
        <v>95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48"/>
    </row>
    <row r="23" spans="3:17" ht="13.5" thickBot="1" x14ac:dyDescent="0.25">
      <c r="C23" s="40" t="s">
        <v>37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5"/>
    </row>
    <row r="24" spans="3:17" ht="18.75" x14ac:dyDescent="0.3">
      <c r="C24" s="56" t="s">
        <v>96</v>
      </c>
      <c r="D24" s="57"/>
      <c r="E24" s="57"/>
      <c r="F24" s="57"/>
      <c r="G24" s="57"/>
      <c r="H24" s="57"/>
      <c r="I24" s="57"/>
      <c r="J24" s="58" t="s">
        <v>37</v>
      </c>
      <c r="K24" s="57"/>
      <c r="L24" s="57"/>
      <c r="M24" s="57"/>
      <c r="N24" s="57"/>
      <c r="O24" s="57"/>
      <c r="P24" s="57"/>
      <c r="Q24" s="59"/>
    </row>
    <row r="25" spans="3:17" ht="15" x14ac:dyDescent="0.25">
      <c r="C25" s="60"/>
      <c r="D25" s="61"/>
      <c r="E25" s="61"/>
      <c r="F25" s="62" t="s">
        <v>97</v>
      </c>
      <c r="G25" s="63"/>
      <c r="H25" s="64"/>
      <c r="I25" s="62" t="s">
        <v>97</v>
      </c>
      <c r="J25" s="63"/>
      <c r="K25" s="64"/>
      <c r="L25" s="62" t="s">
        <v>98</v>
      </c>
      <c r="M25" s="63"/>
      <c r="N25" s="64"/>
      <c r="O25" s="62" t="s">
        <v>98</v>
      </c>
      <c r="P25" s="63"/>
      <c r="Q25" s="65"/>
    </row>
    <row r="26" spans="3:17" ht="15" x14ac:dyDescent="0.25">
      <c r="C26" s="60"/>
      <c r="D26" s="61"/>
      <c r="E26" s="61"/>
      <c r="F26" s="63" t="s">
        <v>99</v>
      </c>
      <c r="G26" s="66" t="s">
        <v>94</v>
      </c>
      <c r="H26" s="67" t="s">
        <v>100</v>
      </c>
      <c r="I26" s="63" t="s">
        <v>99</v>
      </c>
      <c r="J26" s="66" t="s">
        <v>94</v>
      </c>
      <c r="K26" s="67" t="s">
        <v>100</v>
      </c>
      <c r="L26" s="63" t="s">
        <v>99</v>
      </c>
      <c r="M26" s="66" t="s">
        <v>94</v>
      </c>
      <c r="N26" s="67" t="s">
        <v>100</v>
      </c>
      <c r="O26" s="63" t="s">
        <v>99</v>
      </c>
      <c r="P26" s="66" t="s">
        <v>94</v>
      </c>
      <c r="Q26" s="68" t="s">
        <v>100</v>
      </c>
    </row>
    <row r="27" spans="3:17" ht="13.5" thickBot="1" x14ac:dyDescent="0.25">
      <c r="C27" s="69"/>
      <c r="D27" s="70"/>
      <c r="E27" s="71"/>
      <c r="F27" s="70" t="e">
        <f ca="1">FORECAST(I30,OFFSET(F9:F19,MATCH(I30,D9:D19,1)-1,0,2),OFFSET(D9:D19,MATCH(I30,D9:D19,1)-1,0,2))</f>
        <v>#VALUE!</v>
      </c>
      <c r="G27" s="70" t="e">
        <f ca="1">FORECAST(I30,OFFSET(G9:G19,MATCH(I30,D9:D19,1)-1,0,2),OFFSET(D9:D19,MATCH(I30,D9:D19,1)-1,0,2))</f>
        <v>#VALUE!</v>
      </c>
      <c r="H27" s="71"/>
      <c r="I27" s="70" t="e">
        <f ca="1">FORECAST(I30,OFFSET(I9:I19,MATCH(I30,D9:D19,1)-1,0,2),OFFSET(D9:D19,MATCH(I30,D9:D19,1)-1,0,2))</f>
        <v>#VALUE!</v>
      </c>
      <c r="J27" s="70" t="e">
        <f ca="1">FORECAST(I30,OFFSET(J9:J19,MATCH(I30,D9:D19,1)-1,0,2),OFFSET(D9:D19,MATCH(I30,D9:D19,1)-1,0,2))</f>
        <v>#VALUE!</v>
      </c>
      <c r="K27" s="71"/>
      <c r="L27" s="70" t="e">
        <f ca="1">FORECAST(I30,OFFSET(L9:L19,MATCH(I30,D9:D19,1)-1,0,2),OFFSET(D9:D19,MATCH(I30,D9:D19,1)-1,0,2))</f>
        <v>#VALUE!</v>
      </c>
      <c r="M27" s="70" t="e">
        <f ca="1">FORECAST(I30,OFFSET(M9:M19,MATCH(I30,D9:D19,1)-1,0,2),OFFSET(D9:D19,MATCH(I30,D9:D19,1)-1,0,2))</f>
        <v>#VALUE!</v>
      </c>
      <c r="N27" s="71"/>
      <c r="O27" s="70" t="e">
        <f ca="1">FORECAST(I30,OFFSET(O9:O19,MATCH(I30,D9:D19,1)-1,0,2),OFFSET(D9:D19,MATCH(I30,D9:D19,1)-1,0,2))</f>
        <v>#VALUE!</v>
      </c>
      <c r="P27" s="70" t="e">
        <f ca="1">FORECAST(I30,OFFSET(P9:P19,MATCH(I30,D9:D19,1)-1,0,2),OFFSET(D9:D19,MATCH(I30,D9:D19,1)-1,0,2))</f>
        <v>#VALUE!</v>
      </c>
      <c r="Q27" s="72"/>
    </row>
    <row r="28" spans="3:17" ht="18.75" x14ac:dyDescent="0.3">
      <c r="C28" s="73" t="s">
        <v>101</v>
      </c>
      <c r="D28" s="74"/>
      <c r="E28" s="61"/>
      <c r="F28" s="74"/>
      <c r="G28" s="74"/>
      <c r="H28" s="61"/>
      <c r="I28" s="74"/>
      <c r="J28" s="74"/>
      <c r="K28" s="61"/>
      <c r="L28" s="74"/>
      <c r="M28" s="74"/>
      <c r="N28" s="61"/>
      <c r="O28" s="74"/>
      <c r="P28" s="74"/>
      <c r="Q28" s="65"/>
    </row>
    <row r="29" spans="3:17" ht="18.75" x14ac:dyDescent="0.3">
      <c r="C29" s="60"/>
      <c r="D29" s="61"/>
      <c r="E29" s="61"/>
      <c r="F29" s="61"/>
      <c r="G29" s="61"/>
      <c r="H29" s="74"/>
      <c r="I29" s="63" t="s">
        <v>102</v>
      </c>
      <c r="J29" s="63" t="s">
        <v>103</v>
      </c>
      <c r="K29" s="75" t="s">
        <v>104</v>
      </c>
      <c r="L29" s="61"/>
      <c r="M29" s="61"/>
      <c r="N29" s="61"/>
      <c r="O29" s="61"/>
      <c r="P29" s="61"/>
      <c r="Q29" s="65"/>
    </row>
    <row r="30" spans="3:17" ht="18.75" x14ac:dyDescent="0.3">
      <c r="C30" s="60"/>
      <c r="D30" s="61"/>
      <c r="E30" s="61"/>
      <c r="F30" s="61"/>
      <c r="G30" s="61"/>
      <c r="H30" s="159" t="s">
        <v>105</v>
      </c>
      <c r="I30" s="74" t="str">
        <f>'EvaluationSheet 60Gy 8F'!G9</f>
        <v>??</v>
      </c>
      <c r="J30" s="74"/>
      <c r="K30" s="61" t="s">
        <v>37</v>
      </c>
      <c r="L30" s="61"/>
      <c r="M30" s="61"/>
      <c r="N30" s="61"/>
      <c r="O30" s="61"/>
      <c r="P30" s="61"/>
      <c r="Q30" s="65"/>
    </row>
    <row r="31" spans="3:17" ht="20.25" x14ac:dyDescent="0.35">
      <c r="C31" s="60"/>
      <c r="D31" s="61"/>
      <c r="E31" s="61"/>
      <c r="F31" s="61"/>
      <c r="G31" s="61"/>
      <c r="H31" s="77" t="s">
        <v>113</v>
      </c>
      <c r="I31" s="74" t="str">
        <f>'EvaluationSheet 60Gy 8F'!G22</f>
        <v>??</v>
      </c>
      <c r="J31" s="76" t="e">
        <f>I31/I30</f>
        <v>#VALUE!</v>
      </c>
      <c r="K31" s="74" t="str">
        <f>IF(I31="??","??",IF(J31&lt;F27,F26,IF(J31&lt;=G27,G26,H26)))</f>
        <v>??</v>
      </c>
      <c r="L31" s="61"/>
      <c r="M31" s="61"/>
      <c r="N31" s="61"/>
      <c r="O31" s="61"/>
      <c r="P31" s="61"/>
      <c r="Q31" s="65"/>
    </row>
    <row r="32" spans="3:17" ht="20.25" x14ac:dyDescent="0.35">
      <c r="C32" s="60"/>
      <c r="D32" s="61"/>
      <c r="E32" s="61"/>
      <c r="F32" s="61"/>
      <c r="G32" s="61"/>
      <c r="H32" s="77" t="s">
        <v>114</v>
      </c>
      <c r="I32" s="74" t="str">
        <f>'EvaluationSheet 60Gy 8F'!G25</f>
        <v>??</v>
      </c>
      <c r="J32" s="76" t="e">
        <f>I32/I30</f>
        <v>#VALUE!</v>
      </c>
      <c r="K32" s="74" t="str">
        <f>IF(I32="??", "??",IF(J32&lt;=I27,I26,IF(J32&lt;=J27,J26,K26)))</f>
        <v>??</v>
      </c>
      <c r="L32" s="61"/>
      <c r="M32" s="61"/>
      <c r="N32" s="61"/>
      <c r="O32" s="61"/>
      <c r="P32" s="61"/>
      <c r="Q32" s="65"/>
    </row>
    <row r="33" spans="3:17" ht="20.25" x14ac:dyDescent="0.35">
      <c r="C33" s="60"/>
      <c r="D33" s="61"/>
      <c r="E33" s="61"/>
      <c r="F33" s="61"/>
      <c r="G33" s="61"/>
      <c r="H33" s="77" t="s">
        <v>115</v>
      </c>
      <c r="I33" s="74" t="str">
        <f>'EvaluationSheet 60Gy 8F'!G24</f>
        <v>??</v>
      </c>
      <c r="J33" s="76" t="str">
        <f>I33</f>
        <v>??</v>
      </c>
      <c r="K33" s="74" t="str">
        <f>IF(I33="??","??",IF(J33&lt;=L27,L26,IF(J33&lt;=M27,M26,N26)))</f>
        <v>??</v>
      </c>
      <c r="L33" s="61"/>
      <c r="M33" s="61"/>
      <c r="N33" s="61"/>
      <c r="O33" s="61"/>
      <c r="P33" s="61"/>
      <c r="Q33" s="65"/>
    </row>
    <row r="34" spans="3:17" ht="20.25" x14ac:dyDescent="0.35">
      <c r="C34" s="60"/>
      <c r="D34" s="61"/>
      <c r="E34" s="61"/>
      <c r="F34" s="61"/>
      <c r="G34" s="61"/>
      <c r="H34" s="77" t="s">
        <v>116</v>
      </c>
      <c r="I34" s="76" t="str">
        <f>'EvaluationSheet 60Gy 8F'!G31</f>
        <v>??</v>
      </c>
      <c r="J34" s="74"/>
      <c r="K34" s="74" t="str">
        <f>IF(I34="??","??",IF(I34&lt;=0.1,O26,IF(I34&lt;=0.15,P26,Q26)))</f>
        <v>??</v>
      </c>
      <c r="L34" s="61"/>
      <c r="M34" s="61"/>
      <c r="N34" s="61"/>
      <c r="O34" s="61"/>
      <c r="P34" s="61"/>
      <c r="Q34" s="65"/>
    </row>
    <row r="35" spans="3:17" ht="13.5" thickBot="1" x14ac:dyDescent="0.25">
      <c r="C35" s="69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2"/>
    </row>
    <row r="46" spans="3:17" x14ac:dyDescent="0.2">
      <c r="C46" s="153" t="s">
        <v>160</v>
      </c>
    </row>
  </sheetData>
  <sheetProtection sheet="1" selectLockedCells="1" selectUnlockedCell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C1:Q43"/>
  <sheetViews>
    <sheetView workbookViewId="0">
      <selection activeCell="M13" sqref="M13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24"/>
      <c r="D1" s="25"/>
      <c r="E1" s="25"/>
      <c r="F1" s="25"/>
      <c r="G1" s="25"/>
      <c r="H1" s="25"/>
      <c r="I1" s="26" t="s">
        <v>110</v>
      </c>
      <c r="J1" s="25"/>
      <c r="K1" s="25"/>
      <c r="L1" s="25"/>
      <c r="M1" s="25"/>
      <c r="N1" s="25"/>
      <c r="O1" s="25"/>
      <c r="P1" s="25"/>
      <c r="Q1" s="27"/>
    </row>
    <row r="2" spans="3:17" ht="15.75" thickBot="1" x14ac:dyDescent="0.3">
      <c r="C2" s="28"/>
      <c r="D2" s="29"/>
      <c r="E2" s="30" t="s">
        <v>78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1"/>
    </row>
    <row r="3" spans="3:17" ht="15" x14ac:dyDescent="0.25">
      <c r="C3" s="24"/>
      <c r="D3" s="32"/>
      <c r="E3" s="25"/>
      <c r="F3" s="24"/>
      <c r="G3" s="25"/>
      <c r="H3" s="27"/>
      <c r="I3" s="25"/>
      <c r="J3" s="25"/>
      <c r="K3" s="25"/>
      <c r="L3" s="24" t="s">
        <v>79</v>
      </c>
      <c r="M3" s="25"/>
      <c r="N3" s="27"/>
      <c r="O3" s="25" t="s">
        <v>80</v>
      </c>
      <c r="P3" s="25"/>
      <c r="Q3" s="27"/>
    </row>
    <row r="4" spans="3:17" ht="15" x14ac:dyDescent="0.25">
      <c r="C4" s="28"/>
      <c r="D4" s="33"/>
      <c r="E4" s="29"/>
      <c r="F4" s="34" t="s">
        <v>81</v>
      </c>
      <c r="G4" s="29"/>
      <c r="H4" s="31"/>
      <c r="I4" s="29" t="s">
        <v>82</v>
      </c>
      <c r="J4" s="29"/>
      <c r="K4" s="29"/>
      <c r="L4" s="28" t="s">
        <v>83</v>
      </c>
      <c r="M4" s="29"/>
      <c r="N4" s="31"/>
      <c r="O4" s="29" t="s">
        <v>84</v>
      </c>
      <c r="P4" s="29"/>
      <c r="Q4" s="31"/>
    </row>
    <row r="5" spans="3:17" x14ac:dyDescent="0.2">
      <c r="C5" s="28"/>
      <c r="D5" s="29"/>
      <c r="E5" s="29"/>
      <c r="F5" s="34" t="s">
        <v>85</v>
      </c>
      <c r="G5" s="29"/>
      <c r="H5" s="31"/>
      <c r="I5" s="35" t="s">
        <v>86</v>
      </c>
      <c r="J5" s="29"/>
      <c r="K5" s="29"/>
      <c r="L5" s="28" t="s">
        <v>87</v>
      </c>
      <c r="M5" s="29"/>
      <c r="N5" s="31"/>
      <c r="O5" s="29"/>
      <c r="P5" s="29"/>
      <c r="Q5" s="31"/>
    </row>
    <row r="6" spans="3:17" ht="13.5" thickBot="1" x14ac:dyDescent="0.25">
      <c r="C6" s="28"/>
      <c r="D6" s="36" t="s">
        <v>73</v>
      </c>
      <c r="E6" s="29"/>
      <c r="F6" s="34" t="s">
        <v>88</v>
      </c>
      <c r="G6" s="29"/>
      <c r="H6" s="31"/>
      <c r="I6" s="35"/>
      <c r="J6" s="29"/>
      <c r="K6" s="29"/>
      <c r="L6" s="28"/>
      <c r="M6" s="29"/>
      <c r="N6" s="31"/>
      <c r="O6" s="29"/>
      <c r="P6" s="29"/>
      <c r="Q6" s="31"/>
    </row>
    <row r="7" spans="3:17" x14ac:dyDescent="0.2">
      <c r="C7" s="28"/>
      <c r="D7" s="36" t="s">
        <v>89</v>
      </c>
      <c r="E7" s="29"/>
      <c r="F7" s="37" t="s">
        <v>90</v>
      </c>
      <c r="G7" s="25"/>
      <c r="H7" s="27"/>
      <c r="I7" s="25"/>
      <c r="J7" s="25" t="s">
        <v>91</v>
      </c>
      <c r="K7" s="25"/>
      <c r="L7" s="38" t="s">
        <v>92</v>
      </c>
      <c r="M7" s="25"/>
      <c r="N7" s="27"/>
      <c r="O7" s="39" t="s">
        <v>93</v>
      </c>
      <c r="P7" s="25"/>
      <c r="Q7" s="27"/>
    </row>
    <row r="8" spans="3:17" ht="13.5" thickBot="1" x14ac:dyDescent="0.25">
      <c r="C8" s="40"/>
      <c r="D8" s="41" t="s">
        <v>74</v>
      </c>
      <c r="E8" s="41"/>
      <c r="F8" s="42" t="s">
        <v>75</v>
      </c>
      <c r="G8" s="41" t="s">
        <v>94</v>
      </c>
      <c r="H8" s="43"/>
      <c r="I8" s="41" t="s">
        <v>75</v>
      </c>
      <c r="J8" s="41" t="s">
        <v>94</v>
      </c>
      <c r="K8" s="41"/>
      <c r="L8" s="42" t="s">
        <v>75</v>
      </c>
      <c r="M8" s="41" t="s">
        <v>94</v>
      </c>
      <c r="N8" s="43"/>
      <c r="O8" s="41" t="s">
        <v>75</v>
      </c>
      <c r="P8" s="44" t="s">
        <v>94</v>
      </c>
      <c r="Q8" s="43"/>
    </row>
    <row r="9" spans="3:17" ht="15" x14ac:dyDescent="0.25">
      <c r="C9" s="28"/>
      <c r="D9" s="45">
        <v>1.8</v>
      </c>
      <c r="E9" s="36"/>
      <c r="F9" s="46">
        <v>1.2</v>
      </c>
      <c r="G9" s="47">
        <v>1.5</v>
      </c>
      <c r="H9" s="48"/>
      <c r="I9" s="49">
        <v>5.9</v>
      </c>
      <c r="J9" s="49">
        <v>7.5</v>
      </c>
      <c r="K9" s="36"/>
      <c r="L9" s="46">
        <v>50</v>
      </c>
      <c r="M9" s="47">
        <v>57</v>
      </c>
      <c r="N9" s="48"/>
      <c r="O9" s="36">
        <v>10</v>
      </c>
      <c r="P9" s="36">
        <v>15</v>
      </c>
      <c r="Q9" s="48"/>
    </row>
    <row r="10" spans="3:17" ht="15" x14ac:dyDescent="0.25">
      <c r="C10" s="28"/>
      <c r="D10" s="45">
        <v>3.8</v>
      </c>
      <c r="E10" s="36"/>
      <c r="F10" s="46">
        <v>1.2</v>
      </c>
      <c r="G10" s="47">
        <v>1.5</v>
      </c>
      <c r="H10" s="48"/>
      <c r="I10" s="49">
        <v>5.5</v>
      </c>
      <c r="J10" s="49">
        <v>6.5</v>
      </c>
      <c r="K10" s="36"/>
      <c r="L10" s="46">
        <v>50</v>
      </c>
      <c r="M10" s="47">
        <v>57</v>
      </c>
      <c r="N10" s="48"/>
      <c r="O10" s="36">
        <v>10</v>
      </c>
      <c r="P10" s="36">
        <v>15</v>
      </c>
      <c r="Q10" s="48"/>
    </row>
    <row r="11" spans="3:17" ht="15" x14ac:dyDescent="0.25">
      <c r="C11" s="28"/>
      <c r="D11" s="45">
        <v>7.4</v>
      </c>
      <c r="E11" s="36"/>
      <c r="F11" s="46">
        <v>1.2</v>
      </c>
      <c r="G11" s="47">
        <v>1.5</v>
      </c>
      <c r="H11" s="48"/>
      <c r="I11" s="49">
        <v>5.0999999999999996</v>
      </c>
      <c r="J11" s="49">
        <v>6</v>
      </c>
      <c r="K11" s="36"/>
      <c r="L11" s="46">
        <v>50</v>
      </c>
      <c r="M11" s="47">
        <v>58</v>
      </c>
      <c r="N11" s="48"/>
      <c r="O11" s="36">
        <v>10</v>
      </c>
      <c r="P11" s="36">
        <v>15</v>
      </c>
      <c r="Q11" s="48"/>
    </row>
    <row r="12" spans="3:17" ht="15" x14ac:dyDescent="0.25">
      <c r="C12" s="28"/>
      <c r="D12" s="45">
        <v>13.2</v>
      </c>
      <c r="E12" s="36"/>
      <c r="F12" s="46">
        <v>1.2</v>
      </c>
      <c r="G12" s="47">
        <v>1.5</v>
      </c>
      <c r="H12" s="48"/>
      <c r="I12" s="49">
        <v>4.7</v>
      </c>
      <c r="J12" s="49">
        <v>5.8</v>
      </c>
      <c r="K12" s="36"/>
      <c r="L12" s="46">
        <v>50</v>
      </c>
      <c r="M12" s="47">
        <v>58</v>
      </c>
      <c r="N12" s="48"/>
      <c r="O12" s="36">
        <v>10</v>
      </c>
      <c r="P12" s="36">
        <v>15</v>
      </c>
      <c r="Q12" s="48"/>
    </row>
    <row r="13" spans="3:17" ht="15" x14ac:dyDescent="0.25">
      <c r="C13" s="28"/>
      <c r="D13" s="45">
        <v>22</v>
      </c>
      <c r="E13" s="36"/>
      <c r="F13" s="46">
        <v>1.2</v>
      </c>
      <c r="G13" s="47">
        <v>1.5</v>
      </c>
      <c r="H13" s="48"/>
      <c r="I13" s="49">
        <v>4.5</v>
      </c>
      <c r="J13" s="49">
        <v>5.5</v>
      </c>
      <c r="K13" s="36"/>
      <c r="L13" s="46">
        <v>54</v>
      </c>
      <c r="M13" s="47">
        <v>63</v>
      </c>
      <c r="N13" s="48"/>
      <c r="O13" s="36">
        <v>10</v>
      </c>
      <c r="P13" s="36">
        <v>15</v>
      </c>
      <c r="Q13" s="48"/>
    </row>
    <row r="14" spans="3:17" ht="15" x14ac:dyDescent="0.25">
      <c r="C14" s="28"/>
      <c r="D14" s="45">
        <v>34</v>
      </c>
      <c r="E14" s="36"/>
      <c r="F14" s="46">
        <v>1.2</v>
      </c>
      <c r="G14" s="47">
        <v>1.5</v>
      </c>
      <c r="H14" s="48"/>
      <c r="I14" s="49">
        <v>4.3</v>
      </c>
      <c r="J14" s="49">
        <v>5.3</v>
      </c>
      <c r="K14" s="36"/>
      <c r="L14" s="46">
        <v>58</v>
      </c>
      <c r="M14" s="47">
        <v>68</v>
      </c>
      <c r="N14" s="48"/>
      <c r="O14" s="36">
        <v>10</v>
      </c>
      <c r="P14" s="36">
        <v>15</v>
      </c>
      <c r="Q14" s="48"/>
    </row>
    <row r="15" spans="3:17" ht="15" x14ac:dyDescent="0.25">
      <c r="C15" s="28"/>
      <c r="D15" s="45">
        <v>50</v>
      </c>
      <c r="E15" s="36"/>
      <c r="F15" s="46">
        <v>1.2</v>
      </c>
      <c r="G15" s="47">
        <v>1.5</v>
      </c>
      <c r="H15" s="48"/>
      <c r="I15" s="49">
        <v>4</v>
      </c>
      <c r="J15" s="49">
        <v>5</v>
      </c>
      <c r="K15" s="36"/>
      <c r="L15" s="46">
        <v>62</v>
      </c>
      <c r="M15" s="47">
        <v>77</v>
      </c>
      <c r="N15" s="48"/>
      <c r="O15" s="36">
        <v>10</v>
      </c>
      <c r="P15" s="36">
        <v>15</v>
      </c>
      <c r="Q15" s="48"/>
    </row>
    <row r="16" spans="3:17" ht="15" x14ac:dyDescent="0.25">
      <c r="C16" s="28"/>
      <c r="D16" s="45">
        <v>70</v>
      </c>
      <c r="E16" s="36"/>
      <c r="F16" s="46">
        <v>1.2</v>
      </c>
      <c r="G16" s="47">
        <v>1.5</v>
      </c>
      <c r="H16" s="48"/>
      <c r="I16" s="49">
        <v>3.5</v>
      </c>
      <c r="J16" s="49">
        <v>4.8</v>
      </c>
      <c r="K16" s="36"/>
      <c r="L16" s="46">
        <v>66</v>
      </c>
      <c r="M16" s="47">
        <v>86</v>
      </c>
      <c r="N16" s="48"/>
      <c r="O16" s="36">
        <v>10</v>
      </c>
      <c r="P16" s="36">
        <v>15</v>
      </c>
      <c r="Q16" s="48"/>
    </row>
    <row r="17" spans="3:17" ht="15" x14ac:dyDescent="0.25">
      <c r="C17" s="28"/>
      <c r="D17" s="45">
        <v>95</v>
      </c>
      <c r="E17" s="36"/>
      <c r="F17" s="46">
        <v>1.2</v>
      </c>
      <c r="G17" s="47">
        <v>1.5</v>
      </c>
      <c r="H17" s="48"/>
      <c r="I17" s="49">
        <v>3.3</v>
      </c>
      <c r="J17" s="49">
        <v>4.4000000000000004</v>
      </c>
      <c r="K17" s="36"/>
      <c r="L17" s="46">
        <v>70</v>
      </c>
      <c r="M17" s="47">
        <v>89</v>
      </c>
      <c r="N17" s="48"/>
      <c r="O17" s="36">
        <v>10</v>
      </c>
      <c r="P17" s="36">
        <v>15</v>
      </c>
      <c r="Q17" s="48"/>
    </row>
    <row r="18" spans="3:17" ht="15" x14ac:dyDescent="0.25">
      <c r="C18" s="28"/>
      <c r="D18" s="45">
        <v>126</v>
      </c>
      <c r="E18" s="36"/>
      <c r="F18" s="46">
        <v>1.2</v>
      </c>
      <c r="G18" s="47">
        <v>1.5</v>
      </c>
      <c r="H18" s="48"/>
      <c r="I18" s="49">
        <v>3.1</v>
      </c>
      <c r="J18" s="49">
        <v>4</v>
      </c>
      <c r="K18" s="36"/>
      <c r="L18" s="46">
        <v>73</v>
      </c>
      <c r="M18" s="47">
        <v>91</v>
      </c>
      <c r="N18" s="48"/>
      <c r="O18" s="36">
        <v>10</v>
      </c>
      <c r="P18" s="36">
        <v>15</v>
      </c>
      <c r="Q18" s="48"/>
    </row>
    <row r="19" spans="3:17" ht="15.75" thickBot="1" x14ac:dyDescent="0.3">
      <c r="C19" s="40"/>
      <c r="D19" s="50">
        <v>163</v>
      </c>
      <c r="E19" s="41"/>
      <c r="F19" s="51">
        <v>1.2</v>
      </c>
      <c r="G19" s="52">
        <v>1.5</v>
      </c>
      <c r="H19" s="43"/>
      <c r="I19" s="53">
        <v>2.9</v>
      </c>
      <c r="J19" s="53">
        <v>3.7</v>
      </c>
      <c r="K19" s="41"/>
      <c r="L19" s="51">
        <v>77</v>
      </c>
      <c r="M19" s="52">
        <v>94</v>
      </c>
      <c r="N19" s="43"/>
      <c r="O19" s="41">
        <v>10</v>
      </c>
      <c r="P19" s="41">
        <v>15</v>
      </c>
      <c r="Q19" s="43"/>
    </row>
    <row r="20" spans="3:17" ht="15" x14ac:dyDescent="0.25">
      <c r="C20" s="28"/>
      <c r="D20" s="45"/>
      <c r="E20" s="36"/>
      <c r="F20" s="47"/>
      <c r="G20" s="47"/>
      <c r="H20" s="36"/>
      <c r="I20" s="49"/>
      <c r="J20" s="49"/>
      <c r="K20" s="36"/>
      <c r="L20" s="47"/>
      <c r="M20" s="47"/>
      <c r="N20" s="36"/>
      <c r="O20" s="36"/>
      <c r="P20" s="36"/>
      <c r="Q20" s="48"/>
    </row>
    <row r="21" spans="3:17" ht="15" x14ac:dyDescent="0.25">
      <c r="C21" s="28" t="s">
        <v>76</v>
      </c>
      <c r="D21" s="45"/>
      <c r="E21" s="36"/>
      <c r="F21" s="47"/>
      <c r="G21" s="47"/>
      <c r="H21" s="36"/>
      <c r="I21" s="49"/>
      <c r="J21" s="49"/>
      <c r="K21" s="36"/>
      <c r="L21" s="47"/>
      <c r="M21" s="47"/>
      <c r="N21" s="36"/>
      <c r="O21" s="36"/>
      <c r="P21" s="36"/>
      <c r="Q21" s="48"/>
    </row>
    <row r="22" spans="3:17" x14ac:dyDescent="0.2">
      <c r="C22" s="28" t="s">
        <v>95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48"/>
    </row>
    <row r="23" spans="3:17" ht="13.5" thickBot="1" x14ac:dyDescent="0.25">
      <c r="C23" s="40" t="s">
        <v>37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5"/>
    </row>
    <row r="24" spans="3:17" ht="18.75" x14ac:dyDescent="0.3">
      <c r="C24" s="56" t="s">
        <v>96</v>
      </c>
      <c r="D24" s="57"/>
      <c r="E24" s="57"/>
      <c r="F24" s="57"/>
      <c r="G24" s="57"/>
      <c r="H24" s="57"/>
      <c r="I24" s="57"/>
      <c r="J24" s="58" t="s">
        <v>37</v>
      </c>
      <c r="K24" s="57"/>
      <c r="L24" s="57"/>
      <c r="M24" s="57"/>
      <c r="N24" s="57"/>
      <c r="O24" s="57"/>
      <c r="P24" s="57"/>
      <c r="Q24" s="59"/>
    </row>
    <row r="25" spans="3:17" ht="15" x14ac:dyDescent="0.25">
      <c r="C25" s="60"/>
      <c r="D25" s="61"/>
      <c r="E25" s="61"/>
      <c r="F25" s="62" t="s">
        <v>97</v>
      </c>
      <c r="G25" s="63"/>
      <c r="H25" s="64"/>
      <c r="I25" s="62" t="s">
        <v>97</v>
      </c>
      <c r="J25" s="63"/>
      <c r="K25" s="64"/>
      <c r="L25" s="62" t="s">
        <v>98</v>
      </c>
      <c r="M25" s="63"/>
      <c r="N25" s="64"/>
      <c r="O25" s="62" t="s">
        <v>98</v>
      </c>
      <c r="P25" s="63"/>
      <c r="Q25" s="65"/>
    </row>
    <row r="26" spans="3:17" ht="15" x14ac:dyDescent="0.25">
      <c r="C26" s="60"/>
      <c r="D26" s="61"/>
      <c r="E26" s="61"/>
      <c r="F26" s="63" t="s">
        <v>99</v>
      </c>
      <c r="G26" s="66" t="s">
        <v>94</v>
      </c>
      <c r="H26" s="67" t="s">
        <v>100</v>
      </c>
      <c r="I26" s="63" t="s">
        <v>99</v>
      </c>
      <c r="J26" s="66" t="s">
        <v>94</v>
      </c>
      <c r="K26" s="67" t="s">
        <v>100</v>
      </c>
      <c r="L26" s="63" t="s">
        <v>99</v>
      </c>
      <c r="M26" s="66" t="s">
        <v>94</v>
      </c>
      <c r="N26" s="67" t="s">
        <v>100</v>
      </c>
      <c r="O26" s="63" t="s">
        <v>99</v>
      </c>
      <c r="P26" s="66" t="s">
        <v>94</v>
      </c>
      <c r="Q26" s="68" t="s">
        <v>100</v>
      </c>
    </row>
    <row r="27" spans="3:17" ht="13.5" thickBot="1" x14ac:dyDescent="0.25">
      <c r="C27" s="69"/>
      <c r="D27" s="70"/>
      <c r="E27" s="71"/>
      <c r="F27" s="70" t="e">
        <f ca="1">FORECAST(I30,OFFSET(F9:F19,MATCH(I30,D9:D19,1)-1,0,2),OFFSET(D9:D19,MATCH(I30,D9:D19,1)-1,0,2))</f>
        <v>#VALUE!</v>
      </c>
      <c r="G27" s="70" t="e">
        <f ca="1">FORECAST(I30,OFFSET(G9:G19,MATCH(I30,D9:D19,1)-1,0,2),OFFSET(D9:D19,MATCH(I30,D9:D19,1)-1,0,2))</f>
        <v>#VALUE!</v>
      </c>
      <c r="H27" s="71"/>
      <c r="I27" s="70" t="e">
        <f ca="1">FORECAST(I30,OFFSET(I9:I19,MATCH(I30,D9:D19,1)-1,0,2),OFFSET(D9:D19,MATCH(I30,D9:D19,1)-1,0,2))</f>
        <v>#VALUE!</v>
      </c>
      <c r="J27" s="70" t="e">
        <f ca="1">FORECAST(I30,OFFSET(J9:J19,MATCH(I30,D9:D19,1)-1,0,2),OFFSET(D9:D19,MATCH(I30,D9:D19,1)-1,0,2))</f>
        <v>#VALUE!</v>
      </c>
      <c r="K27" s="71"/>
      <c r="L27" s="70" t="e">
        <f ca="1">FORECAST(I30,OFFSET(L9:L19,MATCH(I30,D9:D19,1)-1,0,2),OFFSET(D9:D19,MATCH(I30,D9:D19,1)-1,0,2))</f>
        <v>#VALUE!</v>
      </c>
      <c r="M27" s="70" t="e">
        <f ca="1">FORECAST(I30,OFFSET(M9:M19,MATCH(I30,D9:D19,1)-1,0,2),OFFSET(D9:D19,MATCH(I30,D9:D19,1)-1,0,2))</f>
        <v>#VALUE!</v>
      </c>
      <c r="N27" s="71"/>
      <c r="O27" s="70" t="e">
        <f ca="1">FORECAST(I30,OFFSET(O9:O19,MATCH(I30,D9:D19,1)-1,0,2),OFFSET(D9:D19,MATCH(I30,D9:D19,1)-1,0,2))</f>
        <v>#VALUE!</v>
      </c>
      <c r="P27" s="70" t="e">
        <f ca="1">FORECAST(I30,OFFSET(P9:P19,MATCH(I30,D9:D19,1)-1,0,2),OFFSET(D9:D19,MATCH(I30,D9:D19,1)-1,0,2))</f>
        <v>#VALUE!</v>
      </c>
      <c r="Q27" s="72"/>
    </row>
    <row r="28" spans="3:17" ht="18.75" x14ac:dyDescent="0.3">
      <c r="C28" s="73" t="s">
        <v>101</v>
      </c>
      <c r="D28" s="74"/>
      <c r="E28" s="61"/>
      <c r="F28" s="74"/>
      <c r="G28" s="74"/>
      <c r="H28" s="61"/>
      <c r="I28" s="74"/>
      <c r="J28" s="74"/>
      <c r="K28" s="61"/>
      <c r="L28" s="74"/>
      <c r="M28" s="74"/>
      <c r="N28" s="61"/>
      <c r="O28" s="74"/>
      <c r="P28" s="74"/>
      <c r="Q28" s="65"/>
    </row>
    <row r="29" spans="3:17" ht="18.75" x14ac:dyDescent="0.3">
      <c r="C29" s="60"/>
      <c r="D29" s="61"/>
      <c r="E29" s="61"/>
      <c r="F29" s="61"/>
      <c r="G29" s="61"/>
      <c r="H29" s="74"/>
      <c r="I29" s="63" t="s">
        <v>102</v>
      </c>
      <c r="J29" s="63" t="s">
        <v>103</v>
      </c>
      <c r="K29" s="75" t="s">
        <v>104</v>
      </c>
      <c r="L29" s="61"/>
      <c r="M29" s="61"/>
      <c r="N29" s="61"/>
      <c r="O29" s="61"/>
      <c r="P29" s="61"/>
      <c r="Q29" s="65"/>
    </row>
    <row r="30" spans="3:17" ht="18.75" x14ac:dyDescent="0.3">
      <c r="C30" s="60"/>
      <c r="D30" s="61"/>
      <c r="E30" s="61"/>
      <c r="F30" s="61"/>
      <c r="G30" s="61"/>
      <c r="H30" s="159" t="s">
        <v>105</v>
      </c>
      <c r="I30" s="74" t="str">
        <f>'EvaluationSheet 54Gy 3F'!G9</f>
        <v>??</v>
      </c>
      <c r="J30" s="74"/>
      <c r="K30" s="61" t="s">
        <v>37</v>
      </c>
      <c r="L30" s="61"/>
      <c r="M30" s="61"/>
      <c r="N30" s="61"/>
      <c r="O30" s="61"/>
      <c r="P30" s="61"/>
      <c r="Q30" s="65"/>
    </row>
    <row r="31" spans="3:17" ht="20.25" x14ac:dyDescent="0.35">
      <c r="C31" s="60"/>
      <c r="D31" s="61"/>
      <c r="E31" s="61"/>
      <c r="F31" s="61"/>
      <c r="G31" s="61"/>
      <c r="H31" s="77" t="s">
        <v>113</v>
      </c>
      <c r="I31" s="74" t="str">
        <f>'EvaluationSheet 54Gy 3F'!G22</f>
        <v>??</v>
      </c>
      <c r="J31" s="76" t="e">
        <f>I31/I30</f>
        <v>#VALUE!</v>
      </c>
      <c r="K31" s="61" t="e">
        <f ca="1">IF(J31&lt;=F27,F26,IF(J31&lt;=G27,G26,H26))</f>
        <v>#VALUE!</v>
      </c>
      <c r="L31" s="61"/>
      <c r="M31" s="61"/>
      <c r="N31" s="61"/>
      <c r="O31" s="61"/>
      <c r="P31" s="61"/>
      <c r="Q31" s="65"/>
    </row>
    <row r="32" spans="3:17" ht="20.25" x14ac:dyDescent="0.35">
      <c r="C32" s="60"/>
      <c r="D32" s="61"/>
      <c r="E32" s="61"/>
      <c r="F32" s="61"/>
      <c r="G32" s="61"/>
      <c r="H32" s="77" t="s">
        <v>114</v>
      </c>
      <c r="I32" s="74" t="str">
        <f>'EvaluationSheet 54Gy 3F'!G25</f>
        <v>??</v>
      </c>
      <c r="J32" s="76" t="e">
        <f>I32/I30</f>
        <v>#VALUE!</v>
      </c>
      <c r="K32" s="61" t="e">
        <f ca="1">IF(J32&lt;=I27,I26,IF(J32&lt;=J27,J26,K26))</f>
        <v>#VALUE!</v>
      </c>
      <c r="L32" s="61"/>
      <c r="M32" s="61"/>
      <c r="N32" s="61"/>
      <c r="O32" s="61"/>
      <c r="P32" s="61"/>
      <c r="Q32" s="65"/>
    </row>
    <row r="33" spans="3:17" ht="20.25" x14ac:dyDescent="0.35">
      <c r="C33" s="60"/>
      <c r="D33" s="61"/>
      <c r="E33" s="61"/>
      <c r="F33" s="61"/>
      <c r="G33" s="61"/>
      <c r="H33" s="77" t="s">
        <v>115</v>
      </c>
      <c r="I33" s="74" t="str">
        <f>'EvaluationSheet 54Gy 3F'!G24</f>
        <v>??</v>
      </c>
      <c r="J33" s="76" t="e">
        <f>I33/'EvaluationSheet 54Gy 3F'!H4*100</f>
        <v>#VALUE!</v>
      </c>
      <c r="K33" s="61" t="e">
        <f ca="1">IF(J33&lt;=L27,L26,IF(J33&lt;=M27,M26,N26))</f>
        <v>#VALUE!</v>
      </c>
      <c r="L33" s="61"/>
      <c r="M33" s="61"/>
      <c r="N33" s="61"/>
      <c r="O33" s="61"/>
      <c r="P33" s="61"/>
      <c r="Q33" s="65"/>
    </row>
    <row r="34" spans="3:17" ht="20.25" x14ac:dyDescent="0.35">
      <c r="C34" s="60"/>
      <c r="D34" s="61"/>
      <c r="E34" s="61"/>
      <c r="F34" s="61"/>
      <c r="G34" s="61"/>
      <c r="H34" s="77" t="s">
        <v>116</v>
      </c>
      <c r="I34" s="76" t="e">
        <f>'EvaluationSheet 54Gy 3F'!G31*100</f>
        <v>#VALUE!</v>
      </c>
      <c r="J34" s="74"/>
      <c r="K34" s="61" t="e">
        <f ca="1">IF(I34&lt;=O27,O26,IF(I34&lt;=P27,P26,Q26))</f>
        <v>#VALUE!</v>
      </c>
      <c r="L34" s="61"/>
      <c r="M34" s="61"/>
      <c r="N34" s="61"/>
      <c r="O34" s="61"/>
      <c r="P34" s="61"/>
      <c r="Q34" s="65"/>
    </row>
    <row r="35" spans="3:17" ht="13.5" thickBot="1" x14ac:dyDescent="0.25">
      <c r="C35" s="69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2"/>
    </row>
    <row r="43" spans="3:17" x14ac:dyDescent="0.2">
      <c r="C43" s="153" t="s">
        <v>160</v>
      </c>
    </row>
  </sheetData>
  <sheetProtection selectLockedCells="1" selectUnlockedCell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H2:P16"/>
  <sheetViews>
    <sheetView workbookViewId="0">
      <selection activeCell="M47" sqref="M47"/>
    </sheetView>
  </sheetViews>
  <sheetFormatPr defaultRowHeight="12.75" x14ac:dyDescent="0.2"/>
  <cols>
    <col min="12" max="12" width="13.42578125" customWidth="1"/>
    <col min="13" max="13" width="14.28515625" customWidth="1"/>
    <col min="14" max="14" width="11" customWidth="1"/>
    <col min="15" max="15" width="12.28515625" customWidth="1"/>
    <col min="16" max="16" width="14.140625" customWidth="1"/>
  </cols>
  <sheetData>
    <row r="2" spans="8:16" ht="26.25" x14ac:dyDescent="0.4">
      <c r="H2" s="78" t="s">
        <v>77</v>
      </c>
      <c r="P2" t="s">
        <v>106</v>
      </c>
    </row>
    <row r="3" spans="8:16" x14ac:dyDescent="0.2">
      <c r="O3" t="s">
        <v>107</v>
      </c>
    </row>
    <row r="5" spans="8:16" ht="15.75" x14ac:dyDescent="0.3">
      <c r="O5" s="79" t="s">
        <v>108</v>
      </c>
    </row>
    <row r="6" spans="8:16" ht="15.75" x14ac:dyDescent="0.3">
      <c r="O6" s="79" t="s">
        <v>109</v>
      </c>
    </row>
    <row r="8" spans="8:16" x14ac:dyDescent="0.2">
      <c r="L8" s="1"/>
      <c r="O8" s="1"/>
      <c r="P8" s="1"/>
    </row>
    <row r="9" spans="8:16" x14ac:dyDescent="0.2">
      <c r="O9" s="1"/>
      <c r="P9" s="1"/>
    </row>
    <row r="10" spans="8:16" x14ac:dyDescent="0.2">
      <c r="K10" s="1"/>
      <c r="L10" s="1"/>
      <c r="O10" s="1"/>
      <c r="P10" s="1"/>
    </row>
    <row r="11" spans="8:16" x14ac:dyDescent="0.2">
      <c r="K11" s="1"/>
      <c r="L11" s="1"/>
      <c r="M11" s="1"/>
    </row>
    <row r="12" spans="8:16" x14ac:dyDescent="0.2">
      <c r="K12" s="1"/>
      <c r="L12" s="1"/>
      <c r="M12" s="1"/>
    </row>
    <row r="13" spans="8:16" x14ac:dyDescent="0.2">
      <c r="K13" s="1"/>
      <c r="L13" s="1"/>
      <c r="M13" s="1"/>
    </row>
    <row r="14" spans="8:16" x14ac:dyDescent="0.2">
      <c r="K14" s="1"/>
      <c r="L14" s="1"/>
      <c r="M14" s="1"/>
    </row>
    <row r="15" spans="8:16" x14ac:dyDescent="0.2">
      <c r="K15" s="1"/>
      <c r="L15" s="1"/>
      <c r="M15" s="1"/>
    </row>
    <row r="16" spans="8:16" x14ac:dyDescent="0.2">
      <c r="K16" s="1"/>
      <c r="L16" s="1"/>
      <c r="M16" s="1"/>
    </row>
  </sheetData>
  <sheetProtection sheet="1"/>
  <phoneticPr fontId="2" type="noConversion"/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826284-EA5A-4013-961F-65FC56E60857}"/>
</file>

<file path=customXml/itemProps2.xml><?xml version="1.0" encoding="utf-8"?>
<ds:datastoreItem xmlns:ds="http://schemas.openxmlformats.org/officeDocument/2006/customXml" ds:itemID="{9804393C-6AD7-499B-B0DF-4AD36495DDC3}"/>
</file>

<file path=customXml/itemProps3.xml><?xml version="1.0" encoding="utf-8"?>
<ds:datastoreItem xmlns:ds="http://schemas.openxmlformats.org/officeDocument/2006/customXml" ds:itemID="{E4276226-1088-45AF-B1E4-48A1C6351F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EvaluationSheet 48Gy4F 60Gy5F</vt:lpstr>
      <vt:lpstr>EvaluationSheet 60Gy 8F</vt:lpstr>
      <vt:lpstr>EvaluationSheet 54Gy 3F</vt:lpstr>
      <vt:lpstr>Calculations 48Gy4F_ or_ 60Gy5F</vt:lpstr>
      <vt:lpstr>Calculations 60Gy_8F</vt:lpstr>
      <vt:lpstr>Calculations 54Gy 3F</vt:lpstr>
      <vt:lpstr>RTOG Conformality Table</vt:lpstr>
      <vt:lpstr>'EvaluationSheet 48Gy4F 60Gy5F'!Print_Area</vt:lpstr>
      <vt:lpstr>'EvaluationSheet 54Gy 3F'!Print_Area</vt:lpstr>
      <vt:lpstr>'EvaluationSheet 60Gy 8F'!Print_Area</vt:lpstr>
    </vt:vector>
  </TitlesOfParts>
  <Company>Kingston General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cjoshi</dc:creator>
  <cp:lastModifiedBy>Greg Salomons</cp:lastModifiedBy>
  <cp:lastPrinted>2016-03-10T20:50:17Z</cp:lastPrinted>
  <dcterms:created xsi:type="dcterms:W3CDTF">2011-04-07T21:30:19Z</dcterms:created>
  <dcterms:modified xsi:type="dcterms:W3CDTF">2019-12-29T21:54:53Z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